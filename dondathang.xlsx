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165EE5A8-6F29-490B-B5F8-BCBFC3AEEC3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on dat hang" sheetId="1" r:id="rId1"/>
  </sheets>
  <definedNames>
    <definedName name="_xlnm._FilterDatabase" localSheetId="0" hidden="1">'Don dat hang'!$A$1:$AS$2600</definedName>
    <definedName name="SAVouch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104" i="1" l="1"/>
  <c r="Z103" i="1"/>
  <c r="Z102" i="1"/>
  <c r="Z100" i="1"/>
  <c r="Z99" i="1"/>
  <c r="Z98" i="1"/>
  <c r="Z97" i="1"/>
  <c r="Z95" i="1"/>
  <c r="Z93" i="1"/>
  <c r="Z92" i="1"/>
  <c r="Z90" i="1"/>
  <c r="Z89" i="1"/>
  <c r="Z88" i="1"/>
  <c r="Z87" i="1"/>
  <c r="Z86" i="1"/>
  <c r="Z84" i="1"/>
  <c r="Z82" i="1"/>
  <c r="Z81" i="1"/>
  <c r="Z79" i="1"/>
  <c r="Z78" i="1"/>
  <c r="Z76" i="1"/>
  <c r="Z74" i="1"/>
  <c r="Z73" i="1"/>
  <c r="Z72" i="1"/>
  <c r="Z70" i="1"/>
  <c r="Z69" i="1"/>
  <c r="Z67" i="1"/>
  <c r="Z66" i="1"/>
  <c r="Z65" i="1"/>
  <c r="Z64" i="1"/>
  <c r="Z63" i="1"/>
  <c r="Z62" i="1"/>
  <c r="Z60" i="1"/>
  <c r="Z59" i="1"/>
  <c r="Z58" i="1"/>
  <c r="Z56" i="1"/>
  <c r="Z55" i="1"/>
  <c r="Z54" i="1"/>
  <c r="Z53" i="1"/>
  <c r="Z51" i="1"/>
  <c r="Z49" i="1"/>
  <c r="Z47" i="1"/>
  <c r="Z46" i="1"/>
  <c r="Z44" i="1"/>
  <c r="Z43" i="1"/>
  <c r="Z42" i="1"/>
  <c r="Z41" i="1"/>
  <c r="Z39" i="1"/>
  <c r="Z37" i="1"/>
  <c r="Z36" i="1"/>
  <c r="Z35" i="1"/>
  <c r="Z33" i="1"/>
  <c r="Z32" i="1"/>
  <c r="Z31" i="1"/>
  <c r="Z30" i="1"/>
  <c r="Z29" i="1"/>
  <c r="Z28" i="1"/>
  <c r="Z27" i="1"/>
  <c r="Z25" i="1"/>
  <c r="Z23" i="1"/>
  <c r="Z22" i="1"/>
  <c r="Z21" i="1"/>
  <c r="Z20" i="1"/>
  <c r="Z18" i="1"/>
  <c r="Z16" i="1"/>
  <c r="Z14" i="1"/>
  <c r="Z12" i="1"/>
  <c r="Z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Y14" authorId="0" shapeId="0" xr:uid="{00000000-0006-0000-0000-000001000000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23" authorId="0" shapeId="0" xr:uid="{F21632BA-1626-4DB5-8796-4EC2B4299414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25" authorId="0" shapeId="0" xr:uid="{A4B149F7-5E48-4AFD-A5A1-78E02680422B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27" authorId="0" shapeId="0" xr:uid="{00000000-0006-0000-0000-000004000000}">
      <text>
        <r>
          <rPr>
            <sz val="11"/>
            <color indexed="8"/>
            <rFont val="Calibri"/>
            <family val="2"/>
          </rPr>
          <t>Kiểm tra lại giá mã này! - Giá hóa đơn: 42535.0 - Chênh lệch: 4253.5</t>
        </r>
      </text>
    </comment>
    <comment ref="Y28" authorId="0" shapeId="0" xr:uid="{00000000-0006-0000-0000-000005000000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29" authorId="0" shapeId="0" xr:uid="{F092D81D-A62C-46BB-A77F-377EF56B9D4F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30" authorId="0" shapeId="0" xr:uid="{B8F7DA7A-BC56-4D2C-8489-7145254E430F}">
      <text>
        <r>
          <rPr>
            <sz val="11"/>
            <color indexed="8"/>
            <rFont val="Calibri"/>
            <family val="2"/>
          </rPr>
          <t>Kiểm tra lại giá mã này! - Giá hóa đơn: 42535.0 - Chênh lệch: 4253.5</t>
        </r>
      </text>
    </comment>
    <comment ref="Y32" authorId="0" shapeId="0" xr:uid="{373B5F7F-893C-4A0F-94E6-A053E28ADF99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36" authorId="0" shapeId="0" xr:uid="{00000000-0006-0000-0000-000009000000}">
      <text>
        <r>
          <rPr>
            <sz val="11"/>
            <color indexed="8"/>
            <rFont val="Calibri"/>
            <family val="2"/>
          </rPr>
          <t>Kiểm tra lại giá mã này! - Giá hóa đơn: 40429.0 - Chênh lệch: 4042.9000000000015</t>
        </r>
      </text>
    </comment>
    <comment ref="Y37" authorId="0" shapeId="0" xr:uid="{44FE8D37-BFEB-486C-9FC9-35162201EE7D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43" authorId="0" shapeId="0" xr:uid="{587A4703-1498-4A43-802E-9AF6D014BA90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47" authorId="0" shapeId="0" xr:uid="{26403571-8729-4B49-B8DB-1735145B2A14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55" authorId="0" shapeId="0" xr:uid="{02B1043B-079F-4024-8841-D72B158A3C63}">
      <text>
        <r>
          <rPr>
            <sz val="11"/>
            <color indexed="8"/>
            <rFont val="Calibri"/>
            <family val="2"/>
          </rPr>
          <t>Kiểm tra lại giá mã này! - Giá hóa đơn: 42535.0 - Chênh lệch: 4253.5</t>
        </r>
      </text>
    </comment>
    <comment ref="Y62" authorId="0" shapeId="0" xr:uid="{2733782C-5668-4F76-9E69-1F968F05F3F6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63" authorId="0" shapeId="0" xr:uid="{017730AE-9D2D-42D3-9304-D42358CC3068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70" authorId="0" shapeId="0" xr:uid="{50642337-450A-499B-9B37-9F56BEBA26A1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72" authorId="0" shapeId="0" xr:uid="{479408BB-19DF-43D9-9878-BFEB5222E61B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73" authorId="0" shapeId="0" xr:uid="{417BB147-C136-4761-A0CB-CA9AC8EE2491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78" authorId="0" shapeId="0" xr:uid="{9BD78EE5-9CE6-4EB6-93E6-CA4B8573FB06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82" authorId="0" shapeId="0" xr:uid="{D48A3C35-8EA4-4435-BA67-D59BA340C595}">
      <text>
        <r>
          <rPr>
            <sz val="11"/>
            <color indexed="8"/>
            <rFont val="Calibri"/>
            <family val="2"/>
          </rPr>
          <t>Kiểm tra lại giá mã này! - Giá hóa đơn: 64434.0 - Chênh lệch: 22551.9</t>
        </r>
      </text>
    </comment>
    <comment ref="Y86" authorId="0" shapeId="0" xr:uid="{00000000-0006-0000-0000-000015000000}">
      <text>
        <r>
          <rPr>
            <sz val="11"/>
            <color indexed="8"/>
            <rFont val="Calibri"/>
            <family val="2"/>
          </rPr>
          <t>Kiểm tra lại giá mã này! - Giá hóa đơn: 53063.0 - Chênh lệch: 7959.449999999997</t>
        </r>
      </text>
    </comment>
    <comment ref="Y87" authorId="0" shapeId="0" xr:uid="{EF972B2A-2B99-4202-BB35-00550FDB7D00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88" authorId="0" shapeId="0" xr:uid="{E32DC471-84A8-4F3E-8E18-6E4926AE5236}">
      <text>
        <r>
          <rPr>
            <sz val="11"/>
            <color indexed="8"/>
            <rFont val="Calibri"/>
            <family val="2"/>
          </rPr>
          <t>Kiểm tra lại giá mã này! - Giá hóa đơn: 42535.0 - Chênh lệch: 4253.5</t>
        </r>
      </text>
    </comment>
    <comment ref="Y92" authorId="0" shapeId="0" xr:uid="{992DF220-68DF-4E47-8970-64247CB1493C}">
      <text>
        <r>
          <rPr>
            <sz val="11"/>
            <color indexed="8"/>
            <rFont val="Calibri"/>
            <family val="2"/>
          </rPr>
          <t>Kiểm tra lại giá mã này! - Giá hóa đơn: 40429.0 - Chênh lệch: 4042.9000000000015</t>
        </r>
      </text>
    </comment>
    <comment ref="Y99" authorId="0" shapeId="0" xr:uid="{BC80B53A-A367-4D94-BFDF-794DA29F5AF8}">
      <text>
        <r>
          <rPr>
            <sz val="11"/>
            <color indexed="8"/>
            <rFont val="Calibri"/>
            <family val="2"/>
          </rPr>
          <t>Kiểm tra lại giá mã này! - Giá hóa đơn: 40429.0 - Chênh lệch: 4042.9000000000015</t>
        </r>
      </text>
    </comment>
    <comment ref="Y103" authorId="0" shapeId="0" xr:uid="{6BF5F412-99E2-4BF5-B6A1-AB33A3BAD723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  <comment ref="Y104" authorId="0" shapeId="0" xr:uid="{767A0364-C3D5-484A-B02E-2997FCF57410}">
      <text>
        <r>
          <rPr>
            <sz val="11"/>
            <color indexed="8"/>
            <rFont val="Calibri"/>
            <family val="2"/>
          </rPr>
          <t>Kiểm tra lại giá mã này! - Giá hóa đơn: 41965.0 - Chênh lệch: 4196.5</t>
        </r>
      </text>
    </comment>
  </commentList>
</comments>
</file>

<file path=xl/sharedStrings.xml><?xml version="1.0" encoding="utf-8"?>
<sst xmlns="http://schemas.openxmlformats.org/spreadsheetml/2006/main" count="1580" uniqueCount="153">
  <si>
    <t>FILE MẪU ĐƠN ĐẶT HÀNG ĐỂ NHẬP VÀO PHẦN MỀM AMIS ACCOUNTING</t>
  </si>
  <si>
    <t>Hướng dẫn:</t>
  </si>
  <si>
    <t>- Điền dữ liệu vào các cột tương ứng trên file này</t>
  </si>
  <si>
    <t>- Các cột có dấu (*) là những cột bắt buộc</t>
  </si>
  <si>
    <t>- Nếu muốn nhập nhiều thông tin hơn người dùng có thể tải mẫu đầy đủ/hoặc tự thêm cột trên mẫu cơ bản</t>
  </si>
  <si>
    <t>- Các dòng dữ liệu phía dưới chỉ là ví dụ minh họa</t>
  </si>
  <si>
    <t>Chi tiết hàng tiền</t>
  </si>
  <si>
    <t>Ngày đơn hàng (*)</t>
  </si>
  <si>
    <t>Số đơn hàng (*)</t>
  </si>
  <si>
    <t>Trạng thái</t>
  </si>
  <si>
    <t>Ngày giao hàng</t>
  </si>
  <si>
    <t>Địa điểm giao hàng</t>
  </si>
  <si>
    <t>Tính giá thành</t>
  </si>
  <si>
    <t>Mã khách hàng</t>
  </si>
  <si>
    <t>Tên khách hàng</t>
  </si>
  <si>
    <t>Địa chỉ</t>
  </si>
  <si>
    <t>Mã số thuế</t>
  </si>
  <si>
    <t>Người nhận hàng</t>
  </si>
  <si>
    <t>Diễn giải</t>
  </si>
  <si>
    <t>Mã nhân viên bán hàng</t>
  </si>
  <si>
    <t>Là đơn đặt hàng phát sinh trước khi sử dụng phần mềm</t>
  </si>
  <si>
    <t>Loại tiền</t>
  </si>
  <si>
    <t>Tỷ giá</t>
  </si>
  <si>
    <t>Mã hàng (*)</t>
  </si>
  <si>
    <t>Thuộc combo</t>
  </si>
  <si>
    <t>Tên hàng</t>
  </si>
  <si>
    <t>Là dòng ghi chú</t>
  </si>
  <si>
    <t>Hàng khuyến mại</t>
  </si>
  <si>
    <t>Mã kho</t>
  </si>
  <si>
    <t>ĐVT</t>
  </si>
  <si>
    <t>Số lượng</t>
  </si>
  <si>
    <t>Đơn giá</t>
  </si>
  <si>
    <t>Thành tiền</t>
  </si>
  <si>
    <t>Thành tiền quy đổi</t>
  </si>
  <si>
    <t>Tỷ lệ CK (%)</t>
  </si>
  <si>
    <t>Tiền chiết khấu</t>
  </si>
  <si>
    <t>Tiền chiết khấu quy đổi</t>
  </si>
  <si>
    <t>% thuế GTGT</t>
  </si>
  <si>
    <t>% thuế suất KHAC</t>
  </si>
  <si>
    <t>Tiền thuế GTGT</t>
  </si>
  <si>
    <t>Tiền thuế GTGT quy đổi</t>
  </si>
  <si>
    <t>Mã khoản mục chi phí</t>
  </si>
  <si>
    <t>Mã đơn vị</t>
  </si>
  <si>
    <t>Mã đối tượng THCP</t>
  </si>
  <si>
    <t>Số hợp đồng bán</t>
  </si>
  <si>
    <t>Mã thống kê</t>
  </si>
  <si>
    <t>Công Trình</t>
  </si>
  <si>
    <t>Ghi Chú</t>
  </si>
  <si>
    <t>Mã hàng co</t>
  </si>
  <si>
    <t>Nội dung khuyến mãi</t>
  </si>
  <si>
    <t>Mã barcode DIY</t>
  </si>
  <si>
    <t>Mã barcode G TIN</t>
  </si>
  <si>
    <t>Trọng lượng</t>
  </si>
  <si>
    <t>Số ngày được nợ</t>
  </si>
  <si>
    <t>26/08/2026</t>
  </si>
  <si>
    <t>ĐĐHBIGC-2634058339690</t>
  </si>
  <si>
    <t>Chưa thực hiện</t>
  </si>
  <si>
    <t>29/08/2026</t>
  </si>
  <si>
    <t>FM LOGISTIC VSIP 2 (806)</t>
  </si>
  <si>
    <t>MN_MT_BIGCAC</t>
  </si>
  <si>
    <t>BIGC PO2634058339690 (Tổng trọng lượng: 7.22 tấn)</t>
  </si>
  <si>
    <t>BIGC PO2634058339690</t>
  </si>
  <si>
    <t>Có</t>
  </si>
  <si>
    <t>Không</t>
  </si>
  <si>
    <t>LA_KHO2026</t>
  </si>
  <si>
    <t>MT_MN</t>
  </si>
  <si>
    <t>LA</t>
  </si>
  <si>
    <t>BIGCANLAC</t>
  </si>
  <si>
    <t>TP30879_02</t>
  </si>
  <si>
    <t>Nước giặt xả Blue Đậm đặc Hương Thảo Mộc túi 3.6L</t>
  </si>
  <si>
    <t>BIGCDONGNAI</t>
  </si>
  <si>
    <t>KM Rời - Không Che Barcode</t>
  </si>
  <si>
    <t>1+1</t>
  </si>
  <si>
    <t>TP30886_02</t>
  </si>
  <si>
    <t>Nước giặt xả Blue Đậm đặc Hương Nước Hoa túi 3.6L</t>
  </si>
  <si>
    <t>TP30466</t>
  </si>
  <si>
    <t>Nước rửa chén Blue chiết xuất đậu xanh túi 2.1L (QC*6)</t>
  </si>
  <si>
    <t xml:space="preserve">GIẢM 35% + Tặng 1 túi NRC gạo 800ml TP30343 </t>
  </si>
  <si>
    <t>TP30343</t>
  </si>
  <si>
    <t>Nước rửa chén Blue chiết xuất gạo 800g</t>
  </si>
  <si>
    <t>TP31630</t>
  </si>
  <si>
    <t>Nước rửa chén Blue hương Chanh túi 3.2L (QC*4)</t>
  </si>
  <si>
    <t>TP31647</t>
  </si>
  <si>
    <t>Nước rửa chén Blue Không Mùi túi 3.2L (QC*4)</t>
  </si>
  <si>
    <t>BIGC PO2634058339690 (Tổng trọng lượng: 17.88 kg)</t>
  </si>
  <si>
    <t>HH00220</t>
  </si>
  <si>
    <t>Nước xả vải Joeunmiso 1.3l hương ngàn hoa</t>
  </si>
  <si>
    <t>BIGCMIENDONG</t>
  </si>
  <si>
    <t xml:space="preserve">Giảm giá 15% 
</t>
  </si>
  <si>
    <t>BIGC PO2634058339690 (Tổng trọng lượng: 39.88 kg)</t>
  </si>
  <si>
    <t>BIGCDANANG</t>
  </si>
  <si>
    <t>TP30008</t>
  </si>
  <si>
    <t>Bột thông cống Blue 100g</t>
  </si>
  <si>
    <t>BIGC PO2634058339690 (Tổng trọng lượng: 195.0 kg)</t>
  </si>
  <si>
    <t>BIGCGOVAP</t>
  </si>
  <si>
    <t>TP30473</t>
  </si>
  <si>
    <t>Nước rửa chén Blue chiết xuất gạo túi 2.1L (QC*6)</t>
  </si>
  <si>
    <t>BIGC PO2634058339690 (Tổng trọng lượng: 10.08 kg)</t>
  </si>
  <si>
    <t>HH30602</t>
  </si>
  <si>
    <t>Cốc thả bồn cầu Smile Mom 180g  ( 24 cốc / thùng )</t>
  </si>
  <si>
    <t>BIGCHUE</t>
  </si>
  <si>
    <t xml:space="preserve">GIẢM GIÁ 10%
</t>
  </si>
  <si>
    <t>BIGC PO2634058339690 (Tổng trọng lượng: 30.24 kg)</t>
  </si>
  <si>
    <t>HH00138</t>
  </si>
  <si>
    <t>Chai tẩy vệ sinh toilet Chung Blue 180g (QC*24) ( Cốc tím )</t>
  </si>
  <si>
    <t>BIGCPHUTHANH</t>
  </si>
  <si>
    <t>HH00213</t>
  </si>
  <si>
    <t>Chai tẩy vệ sinh toilet Chung Blue Hương Đào (QC*24)(Cốc thả màu cam, màu vàng)</t>
  </si>
  <si>
    <t>BIGC PO2634058339690 (Tổng trọng lượng: 38.04 kg)</t>
  </si>
  <si>
    <t>BIGCTANHIEP</t>
  </si>
  <si>
    <t>BIGC PO2634058339690 (Tổng trọng lượng: 814.66 kg)</t>
  </si>
  <si>
    <t>HH00312</t>
  </si>
  <si>
    <t>Nước xả vải Joeunmiso 1.3l hương Lavender</t>
  </si>
  <si>
    <t>TP30671</t>
  </si>
  <si>
    <t>Bột tẩy lồng Smile Mom 450g ( 20 túi /1 thùng)</t>
  </si>
  <si>
    <t>TP30565</t>
  </si>
  <si>
    <t>Nước thơm lau sàn Blue hương Sả Chanh 1L</t>
  </si>
  <si>
    <t>TP30749</t>
  </si>
  <si>
    <t>Nước tẩy toilet Blue hương Ngàn hoa chai 620ml ( xanh dương )</t>
  </si>
  <si>
    <t xml:space="preserve">Giảm giá 15%
</t>
  </si>
  <si>
    <t>BIGC PO2634058339690 (Tổng trọng lượng: 60.8 kg)</t>
  </si>
  <si>
    <t>BIGCTRUONGCHINH</t>
  </si>
  <si>
    <t>BIGC PO2634058339690 (Tổng trọng lượng: 671.38 kg)</t>
  </si>
  <si>
    <t>BIGCDIAN</t>
  </si>
  <si>
    <t>BIGC PO2634058339690 (Tổng trọng lượng: 38.96 kg)</t>
  </si>
  <si>
    <t>BIGCDALAT</t>
  </si>
  <si>
    <t>BIGC PO2634058339690 (Tổng trọng lượng: 184.28 kg)</t>
  </si>
  <si>
    <t>BIGCQUYNHON</t>
  </si>
  <si>
    <t>BIGC PO2634058339690 (Tổng trọng lượng: 854.16 kg)</t>
  </si>
  <si>
    <t>BIGC PO2634058339690 (Tổng trọng lượng: 38.88 kg)</t>
  </si>
  <si>
    <t>BIGCMYTHO</t>
  </si>
  <si>
    <t>HH30558</t>
  </si>
  <si>
    <t>Sáp thơm Blue Crystal hương Ocean 220g</t>
  </si>
  <si>
    <t>BIGC PO2634058339690 (Tổng trọng lượng: 169.88 kg)</t>
  </si>
  <si>
    <t>TP30992_02</t>
  </si>
  <si>
    <t>Nước giặt xả Blue Deep Clean Hương Phấn Hồng Túi 3.6L</t>
  </si>
  <si>
    <t>BIGCQUANGNGAI</t>
  </si>
  <si>
    <t>HH00527</t>
  </si>
  <si>
    <t>Nước xả vải Joeunmiso 1.3l hương Đại Dương</t>
  </si>
  <si>
    <t>BIGC PO2634058339690 (Tổng trọng lượng: 59.16 kg)</t>
  </si>
  <si>
    <t>BIGC PO2634058339690 (Tổng trọng lượng: 566.08 kg)</t>
  </si>
  <si>
    <t>BIGCBUONMATHUOT</t>
  </si>
  <si>
    <t>BIGC PO2634058339690 (Tổng trọng lượng: 281.74 kg)</t>
  </si>
  <si>
    <t>BIGCBENTRE</t>
  </si>
  <si>
    <t>TP31036</t>
  </si>
  <si>
    <t>Nước thông tắc cống Blue 1000ml</t>
  </si>
  <si>
    <t xml:space="preserve">GIẢM GIÁ 15%
</t>
  </si>
  <si>
    <t>HH30541</t>
  </si>
  <si>
    <t>Sáp thơm Blue Crystal Lavender 220g</t>
  </si>
  <si>
    <t>BIGC PO2634058339690 (Tổng trọng lượng: 358.8 kg)</t>
  </si>
  <si>
    <t>BIGCBACLIEU</t>
  </si>
  <si>
    <t>BIGC PO2634058339690 (Tổng trọng lượng: 1.23 tấn)</t>
  </si>
  <si>
    <t>BIGCNINH THUAN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</si>
</sst>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010000]d/m/yyyy;@"/>
    <numFmt numFmtId="165" formatCode="[$-F800]dddd\,\ mmmm\ dd\,\ yyyy"/>
  </numFmts>
  <fonts count="8" x14ac:knownFonts="1">
    <font>
      <sz val="11"/>
      <color indexed="8"/>
      <name val="Calibri"/>
      <family val="2"/>
    </font>
    <font>
      <sz val="11"/>
      <color theme="1"/>
      <name val="Calibri"/>
      <family val="2"/>
      <charset val="163"/>
      <scheme val="minor"/>
    </font>
    <font>
      <b/>
      <sz val="16"/>
      <color indexed="8"/>
      <name val="Times New Roman"/>
      <family val="1"/>
    </font>
    <font>
      <b/>
      <sz val="12"/>
      <name val="Times New Roman"/>
      <family val="1"/>
    </font>
    <font>
      <sz val="11"/>
      <color indexed="8"/>
      <name val="Times New Roman"/>
      <family val="1"/>
    </font>
    <font>
      <b/>
      <sz val="12"/>
      <color indexed="10"/>
      <name val="Times New Roman"/>
      <family val="1"/>
    </font>
    <font>
      <sz val="12"/>
      <color indexed="8"/>
      <name val="Times New Roman"/>
      <family val="1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1" fillId="0" borderId="0"/>
  </cellStyleXfs>
  <cellXfs count="48">
    <xf numFmtId="0" fontId="0" fillId="0" borderId="0" xfId="0"/>
    <xf numFmtId="1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49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1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49" fontId="2" fillId="0" borderId="0" xfId="0" applyNumberFormat="1" applyFont="1" applyAlignment="1">
      <alignment horizontal="left" vertical="center" wrapText="1"/>
    </xf>
    <xf numFmtId="1" fontId="4" fillId="0" borderId="0" xfId="0" applyNumberFormat="1" applyFont="1"/>
    <xf numFmtId="0" fontId="5" fillId="5" borderId="0" xfId="0" applyFont="1" applyFill="1" applyAlignment="1">
      <alignment horizontal="left" vertical="center"/>
    </xf>
    <xf numFmtId="49" fontId="6" fillId="5" borderId="0" xfId="0" quotePrefix="1" applyNumberFormat="1" applyFont="1" applyFill="1" applyAlignment="1">
      <alignment horizontal="left" vertical="center"/>
    </xf>
    <xf numFmtId="49" fontId="6" fillId="0" borderId="0" xfId="0" quotePrefix="1" applyNumberFormat="1" applyFont="1" applyAlignment="1">
      <alignment horizontal="left" vertical="center" wrapText="1"/>
    </xf>
    <xf numFmtId="49" fontId="6" fillId="0" borderId="0" xfId="0" quotePrefix="1" applyNumberFormat="1" applyFont="1" applyAlignment="1">
      <alignment horizontal="left" vertical="center"/>
    </xf>
    <xf numFmtId="1" fontId="6" fillId="0" borderId="0" xfId="0" quotePrefix="1" applyNumberFormat="1" applyFont="1" applyAlignment="1">
      <alignment horizontal="left" vertical="center"/>
    </xf>
    <xf numFmtId="0" fontId="6" fillId="5" borderId="0" xfId="0" quotePrefix="1" applyFont="1" applyFill="1" applyAlignment="1">
      <alignment horizontal="left" vertical="center"/>
    </xf>
    <xf numFmtId="0" fontId="4" fillId="0" borderId="0" xfId="0" applyFont="1"/>
    <xf numFmtId="0" fontId="4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49" fontId="4" fillId="0" borderId="0" xfId="0" applyNumberFormat="1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49" fontId="4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37" fontId="4" fillId="0" borderId="0" xfId="0" applyNumberFormat="1" applyFont="1" applyAlignment="1">
      <alignment horizontal="left" vertical="center"/>
    </xf>
    <xf numFmtId="39" fontId="4" fillId="0" borderId="0" xfId="0" applyNumberFormat="1" applyFont="1" applyAlignment="1">
      <alignment horizontal="left" vertical="center"/>
    </xf>
    <xf numFmtId="2" fontId="4" fillId="0" borderId="0" xfId="0" applyNumberFormat="1" applyFont="1"/>
    <xf numFmtId="2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2" fontId="4" fillId="0" borderId="0" xfId="0" applyNumberFormat="1" applyFont="1" applyAlignment="1">
      <alignment horizontal="left"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/>
    <xf numFmtId="49" fontId="4" fillId="0" borderId="0" xfId="0" applyNumberFormat="1" applyFont="1"/>
    <xf numFmtId="164" fontId="4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165" fontId="5" fillId="5" borderId="0" xfId="0" applyNumberFormat="1" applyFont="1" applyFill="1" applyAlignment="1">
      <alignment horizontal="left" vertical="center"/>
    </xf>
    <xf numFmtId="165" fontId="6" fillId="5" borderId="0" xfId="0" quotePrefix="1" applyNumberFormat="1" applyFont="1" applyFill="1" applyAlignment="1">
      <alignment horizontal="left" vertical="center"/>
    </xf>
    <xf numFmtId="165" fontId="6" fillId="0" borderId="0" xfId="0" quotePrefix="1" applyNumberFormat="1" applyFont="1" applyAlignment="1">
      <alignment horizontal="left" vertical="center"/>
    </xf>
    <xf numFmtId="165" fontId="4" fillId="0" borderId="0" xfId="0" applyNumberFormat="1" applyFont="1"/>
    <xf numFmtId="164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165" fontId="3" fillId="3" borderId="1" xfId="0" applyNumberFormat="1" applyFont="1" applyFill="1" applyBorder="1" applyAlignment="1" applyProtection="1">
      <alignment horizontal="center" vertical="center" wrapText="1"/>
      <protection hidden="1"/>
    </xf>
    <xf numFmtId="0" fontId="2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3" fillId="4" borderId="1" xfId="0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quotePrefix="1" applyFont="1" applyAlignment="1">
      <alignment horizontal="left" vertical="center"/>
    </xf>
    <xf numFmtId="49" fontId="3" fillId="6" borderId="1" xfId="0" applyNumberFormat="1" applyFont="1" applyFill="1" applyBorder="1" applyAlignment="1" applyProtection="1">
      <alignment horizontal="center" vertical="center" wrapText="1"/>
      <protection hidden="1"/>
    </xf>
    <xf numFmtId="49" fontId="3" fillId="4" borderId="2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3" xfId="0" applyBorder="1" applyProtection="1">
      <protection hidden="1"/>
    </xf>
    <xf numFmtId="0" fontId="0" fillId="0" borderId="0" xfId="0" applyFill="1"/>
  </cellXfs>
  <cellStyles count="3">
    <cellStyle name="Normal" xfId="0" builtinId="0"/>
    <cellStyle name="Normal 2" xfId="2" xr:uid="{00000000-0005-0000-0000-000002000000}"/>
    <cellStyle name="Normal 2 3" xfId="1" xr:uid="{00000000-0005-0000-0000-000001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V104"/>
  <sheetViews>
    <sheetView tabSelected="1" topLeftCell="Q1" zoomScale="85" zoomScaleNormal="85" workbookViewId="0">
      <selection activeCell="Y86" sqref="Y86"/>
    </sheetView>
  </sheetViews>
  <sheetFormatPr defaultRowHeight="15" x14ac:dyDescent="0.25"/>
  <cols>
    <col min="1" max="1" width="18.7109375" style="30" customWidth="1"/>
    <col min="2" max="2" width="29.140625" style="19" customWidth="1"/>
    <col min="3" max="3" width="18.7109375" style="41" customWidth="1"/>
    <col min="4" max="4" width="18.7109375" style="30" customWidth="1"/>
    <col min="5" max="5" width="35" style="19" customWidth="1"/>
    <col min="6" max="6" width="6.7109375" style="31" customWidth="1"/>
    <col min="7" max="7" width="23.42578125" style="19" customWidth="1"/>
    <col min="8" max="8" width="22.28515625" style="19" hidden="1" customWidth="1"/>
    <col min="9" max="9" width="25.28515625" style="17" hidden="1" customWidth="1"/>
    <col min="10" max="10" width="17.140625" style="20" hidden="1" customWidth="1"/>
    <col min="11" max="11" width="20.28515625" style="20" bestFit="1" customWidth="1"/>
    <col min="12" max="12" width="62.5703125" style="17" bestFit="1" customWidth="1"/>
    <col min="13" max="13" width="17.140625" style="31" customWidth="1"/>
    <col min="14" max="14" width="25.5703125" style="29" hidden="1" customWidth="1"/>
    <col min="15" max="15" width="12.7109375" style="31" hidden="1" customWidth="1"/>
    <col min="16" max="16" width="12.7109375" style="21" hidden="1" customWidth="1"/>
    <col min="17" max="17" width="17.42578125" style="41" customWidth="1"/>
    <col min="18" max="18" width="30.85546875" style="41" customWidth="1"/>
    <col min="19" max="19" width="76" style="18" bestFit="1" customWidth="1"/>
    <col min="20" max="20" width="12.7109375" style="41" customWidth="1"/>
    <col min="21" max="21" width="9.85546875" style="41" customWidth="1"/>
    <col min="22" max="22" width="14.85546875" style="41" customWidth="1"/>
    <col min="23" max="23" width="13.42578125" style="41" customWidth="1"/>
    <col min="24" max="24" width="14.140625" style="23" bestFit="1" customWidth="1"/>
    <col min="25" max="25" width="11.5703125" style="22" customWidth="1"/>
    <col min="26" max="26" width="16.28515625" style="22" bestFit="1" customWidth="1"/>
    <col min="27" max="27" width="16.85546875" style="22" hidden="1" customWidth="1"/>
    <col min="28" max="28" width="14.140625" style="26" hidden="1" customWidth="1"/>
    <col min="29" max="29" width="15.7109375" style="22" hidden="1" customWidth="1"/>
    <col min="30" max="30" width="14.5703125" style="22" hidden="1" customWidth="1"/>
    <col min="31" max="31" width="7" style="26" customWidth="1"/>
    <col min="32" max="32" width="14.5703125" style="26" hidden="1" customWidth="1"/>
    <col min="33" max="33" width="16.5703125" style="22" hidden="1" customWidth="1"/>
    <col min="34" max="34" width="14.5703125" style="22" hidden="1" customWidth="1"/>
    <col min="35" max="35" width="16.85546875" style="41" hidden="1" customWidth="1"/>
    <col min="36" max="36" width="13.85546875" style="41" customWidth="1"/>
    <col min="37" max="37" width="16.140625" style="41" hidden="1" customWidth="1"/>
    <col min="38" max="38" width="16.7109375" style="41" hidden="1" customWidth="1"/>
    <col min="39" max="39" width="11.5703125" style="41" customWidth="1"/>
    <col min="40" max="40" width="20.7109375" style="41" customWidth="1"/>
    <col min="41" max="41" width="30.28515625" style="14" customWidth="1"/>
    <col min="42" max="42" width="16.5703125" style="14" customWidth="1"/>
    <col min="43" max="43" width="25.7109375" style="14" customWidth="1"/>
    <col min="44" max="44" width="19.7109375" style="14" customWidth="1"/>
    <col min="45" max="45" width="23.140625" style="14" customWidth="1"/>
    <col min="46" max="46" width="17.7109375" style="14" customWidth="1"/>
    <col min="47" max="47" width="9.140625" style="14" customWidth="1"/>
    <col min="48" max="48" width="17.7109375" style="14" customWidth="1"/>
    <col min="49" max="50" width="9.140625" style="14" customWidth="1"/>
    <col min="51" max="51" width="31.42578125" style="14" customWidth="1"/>
    <col min="52" max="52" width="13.7109375" style="14" customWidth="1"/>
    <col min="53" max="1201" width="9.140625" style="14" customWidth="1"/>
    <col min="1202" max="16384" width="9.140625" style="14"/>
  </cols>
  <sheetData>
    <row r="1" spans="1:48" ht="20.25" customHeight="1" x14ac:dyDescent="0.25">
      <c r="A1" s="40" t="s">
        <v>0</v>
      </c>
      <c r="B1" s="40"/>
      <c r="C1" s="40"/>
      <c r="D1" s="40"/>
      <c r="E1" s="32"/>
      <c r="F1" s="32"/>
      <c r="G1" s="40">
        <v>5422</v>
      </c>
      <c r="H1" s="6"/>
      <c r="I1" s="33"/>
      <c r="J1" s="33"/>
      <c r="K1" s="6"/>
      <c r="L1" s="33"/>
      <c r="M1" s="33"/>
      <c r="O1" s="33"/>
      <c r="P1" s="33"/>
      <c r="Q1" s="14"/>
      <c r="R1" s="14"/>
      <c r="S1" s="6"/>
      <c r="T1" s="3"/>
      <c r="U1" s="3"/>
      <c r="V1" s="3"/>
      <c r="W1" s="3"/>
      <c r="X1" s="3"/>
      <c r="Y1" s="3"/>
      <c r="Z1" s="3"/>
      <c r="AA1" s="3"/>
      <c r="AB1" s="24"/>
      <c r="AC1" s="29"/>
      <c r="AD1" s="29"/>
      <c r="AE1" s="27"/>
      <c r="AF1" s="27"/>
      <c r="AG1" s="7"/>
      <c r="AH1" s="7"/>
      <c r="AI1" s="4"/>
      <c r="AJ1" s="4"/>
      <c r="AK1" s="4"/>
      <c r="AL1" s="4"/>
      <c r="AM1" s="4"/>
      <c r="AN1" s="4"/>
    </row>
    <row r="2" spans="1:48" ht="15.75" customHeight="1" x14ac:dyDescent="0.25">
      <c r="A2" s="8" t="s">
        <v>1</v>
      </c>
      <c r="B2" s="8"/>
      <c r="C2" s="8"/>
      <c r="D2" s="8"/>
      <c r="E2" s="34"/>
      <c r="F2" s="35"/>
      <c r="G2" s="9"/>
      <c r="H2" s="10"/>
      <c r="I2" s="36"/>
      <c r="J2" s="36"/>
      <c r="K2" s="10"/>
      <c r="L2" s="36"/>
      <c r="M2" s="36"/>
      <c r="O2" s="36"/>
      <c r="P2" s="36"/>
      <c r="Q2" s="14"/>
      <c r="R2" s="14"/>
      <c r="S2" s="10"/>
      <c r="T2" s="11"/>
      <c r="U2" s="11"/>
      <c r="V2" s="11"/>
      <c r="W2" s="11"/>
      <c r="X2" s="11"/>
      <c r="Y2" s="11"/>
      <c r="Z2" s="11"/>
      <c r="AA2" s="11"/>
      <c r="AB2" s="24"/>
      <c r="AC2" s="29"/>
      <c r="AD2" s="29"/>
      <c r="AE2" s="27"/>
      <c r="AF2" s="27"/>
      <c r="AG2" s="7"/>
      <c r="AH2" s="7"/>
      <c r="AI2" s="12"/>
      <c r="AJ2" s="12"/>
      <c r="AK2" s="12"/>
      <c r="AL2" s="12"/>
      <c r="AM2" s="12"/>
      <c r="AN2" s="12"/>
    </row>
    <row r="3" spans="1:48" ht="15.75" customHeight="1" x14ac:dyDescent="0.25">
      <c r="A3" s="13" t="s">
        <v>2</v>
      </c>
      <c r="B3" s="13"/>
      <c r="C3" s="13"/>
      <c r="D3" s="13"/>
      <c r="E3" s="35"/>
      <c r="F3" s="35"/>
      <c r="G3" s="9"/>
      <c r="H3" s="10"/>
      <c r="I3" s="36"/>
      <c r="J3" s="36"/>
      <c r="K3" s="10"/>
      <c r="L3" s="36"/>
      <c r="M3" s="36"/>
      <c r="O3" s="36"/>
      <c r="P3" s="36"/>
      <c r="Q3" s="14"/>
      <c r="R3" s="14"/>
      <c r="S3" s="10"/>
      <c r="T3" s="11"/>
      <c r="U3" s="11"/>
      <c r="V3" s="11"/>
      <c r="W3" s="11"/>
      <c r="X3" s="11"/>
      <c r="Y3" s="11"/>
      <c r="Z3" s="11"/>
      <c r="AA3" s="11"/>
      <c r="AB3" s="24"/>
      <c r="AC3" s="29"/>
      <c r="AD3" s="29"/>
      <c r="AE3" s="27"/>
      <c r="AF3" s="27"/>
      <c r="AG3" s="7"/>
      <c r="AH3" s="7"/>
      <c r="AI3" s="12"/>
      <c r="AJ3" s="12"/>
      <c r="AK3" s="12"/>
      <c r="AL3" s="12"/>
      <c r="AM3" s="12"/>
      <c r="AN3" s="12"/>
    </row>
    <row r="4" spans="1:48" ht="15.75" customHeight="1" x14ac:dyDescent="0.25">
      <c r="A4" s="13" t="s">
        <v>3</v>
      </c>
      <c r="B4" s="13"/>
      <c r="C4" s="13"/>
      <c r="D4" s="13"/>
      <c r="E4" s="35"/>
      <c r="F4" s="35"/>
      <c r="G4" s="9"/>
      <c r="H4" s="10"/>
      <c r="I4" s="36"/>
      <c r="J4" s="36"/>
      <c r="K4" s="10"/>
      <c r="L4" s="36"/>
      <c r="M4" s="36"/>
      <c r="O4" s="36"/>
      <c r="P4" s="36"/>
      <c r="Q4" s="14"/>
      <c r="R4" s="14"/>
      <c r="S4" s="10"/>
      <c r="T4" s="11"/>
      <c r="U4" s="11"/>
      <c r="V4" s="11"/>
      <c r="W4" s="11"/>
      <c r="X4" s="11"/>
      <c r="Y4" s="11"/>
      <c r="Z4" s="11"/>
      <c r="AA4" s="11"/>
      <c r="AB4" s="24"/>
      <c r="AC4" s="29"/>
      <c r="AD4" s="29"/>
      <c r="AE4" s="27"/>
      <c r="AF4" s="27"/>
      <c r="AG4" s="7"/>
      <c r="AH4" s="7"/>
      <c r="AI4" s="12"/>
      <c r="AJ4" s="12"/>
      <c r="AK4" s="12"/>
      <c r="AL4" s="12"/>
      <c r="AM4" s="12"/>
      <c r="AN4" s="12"/>
    </row>
    <row r="5" spans="1:48" ht="15.75" customHeight="1" x14ac:dyDescent="0.25">
      <c r="A5" s="13" t="s">
        <v>4</v>
      </c>
      <c r="B5" s="13"/>
      <c r="C5" s="13"/>
      <c r="D5" s="13"/>
      <c r="E5" s="35"/>
      <c r="F5" s="35"/>
      <c r="G5" s="9"/>
      <c r="H5" s="10"/>
      <c r="I5" s="36"/>
      <c r="J5" s="36"/>
      <c r="K5" s="10"/>
      <c r="L5" s="36"/>
      <c r="M5" s="36"/>
      <c r="O5" s="36"/>
      <c r="P5" s="36"/>
      <c r="Q5" s="14"/>
      <c r="R5" s="14"/>
      <c r="S5" s="10"/>
      <c r="T5" s="11"/>
      <c r="U5" s="11"/>
      <c r="V5" s="11"/>
      <c r="W5" s="11"/>
      <c r="X5" s="11"/>
      <c r="Y5" s="11"/>
      <c r="Z5" s="43"/>
      <c r="AA5" s="11"/>
      <c r="AB5" s="24"/>
      <c r="AC5" s="29"/>
      <c r="AD5" s="29"/>
      <c r="AE5" s="27"/>
      <c r="AF5" s="27"/>
      <c r="AG5" s="7"/>
      <c r="AH5" s="7"/>
      <c r="AI5" s="12"/>
      <c r="AJ5" s="12"/>
      <c r="AK5" s="12"/>
      <c r="AL5" s="12"/>
      <c r="AM5" s="12"/>
      <c r="AN5" s="12"/>
    </row>
    <row r="6" spans="1:48" ht="15.75" customHeight="1" x14ac:dyDescent="0.25">
      <c r="A6" s="13" t="s">
        <v>5</v>
      </c>
      <c r="B6" s="13"/>
      <c r="C6" s="13"/>
      <c r="D6" s="13"/>
      <c r="E6" s="35"/>
      <c r="F6" s="35"/>
      <c r="G6" s="9"/>
      <c r="H6" s="10"/>
      <c r="I6" s="36"/>
      <c r="J6" s="36"/>
      <c r="K6" s="10"/>
      <c r="L6" s="36"/>
      <c r="M6" s="36"/>
      <c r="O6" s="36"/>
      <c r="P6" s="36"/>
      <c r="Q6" s="14"/>
      <c r="R6" s="14"/>
      <c r="S6" s="10"/>
      <c r="T6" s="11"/>
      <c r="U6" s="11"/>
      <c r="V6" s="11"/>
      <c r="W6" s="11"/>
      <c r="X6" s="11"/>
      <c r="Y6" s="11"/>
      <c r="Z6" s="11"/>
      <c r="AA6" s="11"/>
      <c r="AB6" s="24"/>
      <c r="AC6" s="29"/>
      <c r="AD6" s="29"/>
      <c r="AE6" s="27"/>
      <c r="AF6" s="27"/>
      <c r="AG6" s="7"/>
      <c r="AH6" s="7"/>
      <c r="AI6" s="12"/>
      <c r="AJ6" s="12"/>
      <c r="AK6" s="12"/>
      <c r="AL6" s="12"/>
      <c r="AM6" s="12"/>
      <c r="AN6" s="12"/>
    </row>
    <row r="7" spans="1:48" ht="15.75" customHeight="1" x14ac:dyDescent="0.25">
      <c r="A7" s="14"/>
      <c r="B7" s="14"/>
      <c r="C7" s="14"/>
      <c r="D7" s="14"/>
      <c r="E7" s="37"/>
      <c r="F7" s="37"/>
      <c r="G7" s="14"/>
      <c r="H7" s="14"/>
      <c r="I7" s="15"/>
      <c r="J7" s="14"/>
      <c r="K7" s="14"/>
      <c r="L7" s="16"/>
      <c r="M7" s="37"/>
      <c r="N7" s="28"/>
      <c r="O7" s="37"/>
      <c r="P7" s="37"/>
      <c r="Q7" s="45" t="s">
        <v>6</v>
      </c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46"/>
    </row>
    <row r="8" spans="1:48" s="15" customFormat="1" ht="63" customHeight="1" x14ac:dyDescent="0.25">
      <c r="A8" s="38" t="s">
        <v>7</v>
      </c>
      <c r="B8" s="39" t="s">
        <v>8</v>
      </c>
      <c r="C8" s="2" t="s">
        <v>9</v>
      </c>
      <c r="D8" s="2" t="s">
        <v>10</v>
      </c>
      <c r="E8" s="2" t="s">
        <v>11</v>
      </c>
      <c r="F8" s="2" t="s">
        <v>12</v>
      </c>
      <c r="G8" s="2" t="s">
        <v>13</v>
      </c>
      <c r="H8" s="2" t="s">
        <v>14</v>
      </c>
      <c r="I8" s="2" t="s">
        <v>15</v>
      </c>
      <c r="J8" s="2" t="s">
        <v>16</v>
      </c>
      <c r="K8" s="2" t="s">
        <v>17</v>
      </c>
      <c r="L8" s="2" t="s">
        <v>18</v>
      </c>
      <c r="M8" s="2" t="s">
        <v>19</v>
      </c>
      <c r="N8" s="5" t="s">
        <v>20</v>
      </c>
      <c r="O8" s="2" t="s">
        <v>21</v>
      </c>
      <c r="P8" s="5" t="s">
        <v>22</v>
      </c>
      <c r="Q8" s="42" t="s">
        <v>23</v>
      </c>
      <c r="R8" s="42" t="s">
        <v>24</v>
      </c>
      <c r="S8" s="42" t="s">
        <v>25</v>
      </c>
      <c r="T8" s="42" t="s">
        <v>26</v>
      </c>
      <c r="U8" s="42" t="s">
        <v>27</v>
      </c>
      <c r="V8" s="42" t="s">
        <v>28</v>
      </c>
      <c r="W8" s="42" t="s">
        <v>29</v>
      </c>
      <c r="X8" s="1" t="s">
        <v>30</v>
      </c>
      <c r="Y8" s="1" t="s">
        <v>31</v>
      </c>
      <c r="Z8" s="1" t="s">
        <v>32</v>
      </c>
      <c r="AA8" s="1" t="s">
        <v>33</v>
      </c>
      <c r="AB8" s="25" t="s">
        <v>34</v>
      </c>
      <c r="AC8" s="1" t="s">
        <v>35</v>
      </c>
      <c r="AD8" s="1" t="s">
        <v>36</v>
      </c>
      <c r="AE8" s="42" t="s">
        <v>37</v>
      </c>
      <c r="AF8" s="42" t="s">
        <v>38</v>
      </c>
      <c r="AG8" s="1" t="s">
        <v>39</v>
      </c>
      <c r="AH8" s="1" t="s">
        <v>40</v>
      </c>
      <c r="AI8" s="42" t="s">
        <v>41</v>
      </c>
      <c r="AJ8" s="42" t="s">
        <v>42</v>
      </c>
      <c r="AK8" s="42" t="s">
        <v>43</v>
      </c>
      <c r="AL8" s="42" t="s">
        <v>44</v>
      </c>
      <c r="AM8" s="42" t="s">
        <v>45</v>
      </c>
      <c r="AN8" s="42" t="s">
        <v>46</v>
      </c>
      <c r="AO8" s="42" t="s">
        <v>47</v>
      </c>
      <c r="AP8" s="42" t="s">
        <v>48</v>
      </c>
      <c r="AQ8" s="42" t="s">
        <v>49</v>
      </c>
      <c r="AR8" s="42" t="s">
        <v>50</v>
      </c>
      <c r="AS8" s="42" t="s">
        <v>51</v>
      </c>
      <c r="AT8" s="42" t="s">
        <v>52</v>
      </c>
      <c r="AU8" s="42"/>
      <c r="AV8" s="44" t="s">
        <v>53</v>
      </c>
    </row>
    <row r="9" spans="1:48" x14ac:dyDescent="0.25">
      <c r="A9" t="s">
        <v>54</v>
      </c>
      <c r="B9" t="s">
        <v>55</v>
      </c>
      <c r="C9" t="s">
        <v>56</v>
      </c>
      <c r="D9" t="s">
        <v>57</v>
      </c>
      <c r="E9" t="s">
        <v>58</v>
      </c>
      <c r="G9" t="s">
        <v>59</v>
      </c>
      <c r="L9" t="s">
        <v>60</v>
      </c>
      <c r="S9" t="s">
        <v>61</v>
      </c>
      <c r="T9" t="s">
        <v>62</v>
      </c>
      <c r="U9" t="s">
        <v>63</v>
      </c>
      <c r="V9" t="s">
        <v>64</v>
      </c>
      <c r="X9">
        <v>0</v>
      </c>
      <c r="Y9">
        <v>0</v>
      </c>
      <c r="Z9">
        <v>0</v>
      </c>
      <c r="AE9">
        <v>8</v>
      </c>
      <c r="AJ9" t="s">
        <v>65</v>
      </c>
      <c r="AM9" t="s">
        <v>66</v>
      </c>
      <c r="AN9" t="s">
        <v>67</v>
      </c>
      <c r="AV9">
        <v>60</v>
      </c>
    </row>
    <row r="10" spans="1:48" x14ac:dyDescent="0.25">
      <c r="A10" t="s">
        <v>54</v>
      </c>
      <c r="B10" t="s">
        <v>55</v>
      </c>
      <c r="C10" t="s">
        <v>56</v>
      </c>
      <c r="D10" t="s">
        <v>57</v>
      </c>
      <c r="E10" t="s">
        <v>58</v>
      </c>
      <c r="G10" t="s">
        <v>59</v>
      </c>
      <c r="L10" t="s">
        <v>61</v>
      </c>
      <c r="Q10" t="s">
        <v>68</v>
      </c>
      <c r="S10" t="s">
        <v>69</v>
      </c>
      <c r="T10" t="s">
        <v>63</v>
      </c>
      <c r="U10" t="s">
        <v>63</v>
      </c>
      <c r="V10" t="s">
        <v>64</v>
      </c>
      <c r="X10">
        <v>60</v>
      </c>
      <c r="Y10">
        <v>162138</v>
      </c>
      <c r="Z10">
        <f>Y10*X10</f>
        <v>9728280</v>
      </c>
      <c r="AE10">
        <v>8</v>
      </c>
      <c r="AJ10" t="s">
        <v>65</v>
      </c>
      <c r="AM10" t="s">
        <v>66</v>
      </c>
      <c r="AN10" t="s">
        <v>70</v>
      </c>
      <c r="AO10" t="s">
        <v>71</v>
      </c>
      <c r="AQ10" t="s">
        <v>72</v>
      </c>
      <c r="AT10">
        <v>228</v>
      </c>
      <c r="AV10">
        <v>60</v>
      </c>
    </row>
    <row r="11" spans="1:48" x14ac:dyDescent="0.25">
      <c r="A11" t="s">
        <v>54</v>
      </c>
      <c r="B11" t="s">
        <v>55</v>
      </c>
      <c r="C11" t="s">
        <v>56</v>
      </c>
      <c r="D11" t="s">
        <v>57</v>
      </c>
      <c r="E11" t="s">
        <v>58</v>
      </c>
      <c r="G11" t="s">
        <v>59</v>
      </c>
      <c r="L11" t="s">
        <v>61</v>
      </c>
      <c r="Q11" t="s">
        <v>68</v>
      </c>
      <c r="S11" t="s">
        <v>69</v>
      </c>
      <c r="T11" t="s">
        <v>63</v>
      </c>
      <c r="U11" t="s">
        <v>62</v>
      </c>
      <c r="V11" t="s">
        <v>64</v>
      </c>
      <c r="X11">
        <v>60</v>
      </c>
      <c r="Y11">
        <v>0</v>
      </c>
      <c r="Z11">
        <v>0</v>
      </c>
      <c r="AE11">
        <v>8</v>
      </c>
      <c r="AJ11" t="s">
        <v>65</v>
      </c>
      <c r="AM11" t="s">
        <v>66</v>
      </c>
      <c r="AN11" t="s">
        <v>70</v>
      </c>
      <c r="AT11">
        <v>228</v>
      </c>
      <c r="AV11">
        <v>60</v>
      </c>
    </row>
    <row r="12" spans="1:48" x14ac:dyDescent="0.25">
      <c r="A12" t="s">
        <v>54</v>
      </c>
      <c r="B12" t="s">
        <v>55</v>
      </c>
      <c r="C12" t="s">
        <v>56</v>
      </c>
      <c r="D12" t="s">
        <v>57</v>
      </c>
      <c r="E12" t="s">
        <v>58</v>
      </c>
      <c r="G12" t="s">
        <v>59</v>
      </c>
      <c r="L12" t="s">
        <v>61</v>
      </c>
      <c r="Q12" t="s">
        <v>73</v>
      </c>
      <c r="S12" t="s">
        <v>74</v>
      </c>
      <c r="T12" t="s">
        <v>63</v>
      </c>
      <c r="U12" t="s">
        <v>63</v>
      </c>
      <c r="V12" t="s">
        <v>64</v>
      </c>
      <c r="X12">
        <v>60</v>
      </c>
      <c r="Y12">
        <v>162138</v>
      </c>
      <c r="Z12">
        <f>Y12*X12</f>
        <v>9728280</v>
      </c>
      <c r="AE12">
        <v>8</v>
      </c>
      <c r="AJ12" t="s">
        <v>65</v>
      </c>
      <c r="AM12" t="s">
        <v>66</v>
      </c>
      <c r="AN12" t="s">
        <v>70</v>
      </c>
      <c r="AO12" t="s">
        <v>71</v>
      </c>
      <c r="AQ12" t="s">
        <v>72</v>
      </c>
      <c r="AT12">
        <v>228</v>
      </c>
      <c r="AV12">
        <v>60</v>
      </c>
    </row>
    <row r="13" spans="1:48" x14ac:dyDescent="0.25">
      <c r="A13" t="s">
        <v>54</v>
      </c>
      <c r="B13" t="s">
        <v>55</v>
      </c>
      <c r="C13" t="s">
        <v>56</v>
      </c>
      <c r="D13" t="s">
        <v>57</v>
      </c>
      <c r="E13" t="s">
        <v>58</v>
      </c>
      <c r="G13" t="s">
        <v>59</v>
      </c>
      <c r="L13" t="s">
        <v>61</v>
      </c>
      <c r="Q13" t="s">
        <v>73</v>
      </c>
      <c r="S13" t="s">
        <v>74</v>
      </c>
      <c r="T13" t="s">
        <v>63</v>
      </c>
      <c r="U13" t="s">
        <v>62</v>
      </c>
      <c r="V13" t="s">
        <v>64</v>
      </c>
      <c r="X13">
        <v>60</v>
      </c>
      <c r="Y13">
        <v>0</v>
      </c>
      <c r="Z13">
        <v>0</v>
      </c>
      <c r="AE13">
        <v>8</v>
      </c>
      <c r="AJ13" t="s">
        <v>65</v>
      </c>
      <c r="AM13" t="s">
        <v>66</v>
      </c>
      <c r="AN13" t="s">
        <v>70</v>
      </c>
      <c r="AT13">
        <v>228</v>
      </c>
      <c r="AV13">
        <v>60</v>
      </c>
    </row>
    <row r="14" spans="1:48" x14ac:dyDescent="0.25">
      <c r="A14" t="s">
        <v>54</v>
      </c>
      <c r="B14" t="s">
        <v>55</v>
      </c>
      <c r="C14" t="s">
        <v>56</v>
      </c>
      <c r="D14" t="s">
        <v>57</v>
      </c>
      <c r="E14" t="s">
        <v>58</v>
      </c>
      <c r="G14" t="s">
        <v>59</v>
      </c>
      <c r="L14" t="s">
        <v>61</v>
      </c>
      <c r="Q14" t="s">
        <v>75</v>
      </c>
      <c r="S14" t="s">
        <v>76</v>
      </c>
      <c r="T14" t="s">
        <v>63</v>
      </c>
      <c r="U14" t="s">
        <v>63</v>
      </c>
      <c r="V14" t="s">
        <v>64</v>
      </c>
      <c r="X14">
        <v>30</v>
      </c>
      <c r="Y14" s="47">
        <v>64434</v>
      </c>
      <c r="Z14">
        <f>Y14*X14</f>
        <v>1933020</v>
      </c>
      <c r="AE14">
        <v>8</v>
      </c>
      <c r="AJ14" t="s">
        <v>65</v>
      </c>
      <c r="AM14" t="s">
        <v>66</v>
      </c>
      <c r="AN14" t="s">
        <v>70</v>
      </c>
      <c r="AO14" t="s">
        <v>71</v>
      </c>
      <c r="AQ14" t="s">
        <v>77</v>
      </c>
      <c r="AT14">
        <v>69.000000000000014</v>
      </c>
      <c r="AV14">
        <v>60</v>
      </c>
    </row>
    <row r="15" spans="1:48" x14ac:dyDescent="0.25">
      <c r="A15" t="s">
        <v>54</v>
      </c>
      <c r="B15" t="s">
        <v>55</v>
      </c>
      <c r="C15" t="s">
        <v>56</v>
      </c>
      <c r="D15" t="s">
        <v>57</v>
      </c>
      <c r="E15" t="s">
        <v>58</v>
      </c>
      <c r="G15" t="s">
        <v>59</v>
      </c>
      <c r="L15" t="s">
        <v>61</v>
      </c>
      <c r="Q15" t="s">
        <v>78</v>
      </c>
      <c r="S15" t="s">
        <v>79</v>
      </c>
      <c r="T15" t="s">
        <v>63</v>
      </c>
      <c r="U15" t="s">
        <v>62</v>
      </c>
      <c r="V15" t="s">
        <v>64</v>
      </c>
      <c r="X15">
        <v>30</v>
      </c>
      <c r="Y15">
        <v>0</v>
      </c>
      <c r="Z15">
        <v>0</v>
      </c>
      <c r="AE15">
        <v>8</v>
      </c>
      <c r="AJ15" t="s">
        <v>65</v>
      </c>
      <c r="AM15" t="s">
        <v>66</v>
      </c>
      <c r="AN15" t="s">
        <v>70</v>
      </c>
      <c r="AT15">
        <v>28.5</v>
      </c>
      <c r="AV15">
        <v>60</v>
      </c>
    </row>
    <row r="16" spans="1:48" x14ac:dyDescent="0.25">
      <c r="A16" t="s">
        <v>54</v>
      </c>
      <c r="B16" t="s">
        <v>55</v>
      </c>
      <c r="C16" t="s">
        <v>56</v>
      </c>
      <c r="D16" t="s">
        <v>57</v>
      </c>
      <c r="E16" t="s">
        <v>58</v>
      </c>
      <c r="G16" t="s">
        <v>59</v>
      </c>
      <c r="L16" t="s">
        <v>61</v>
      </c>
      <c r="Q16" t="s">
        <v>80</v>
      </c>
      <c r="S16" t="s">
        <v>81</v>
      </c>
      <c r="T16" t="s">
        <v>63</v>
      </c>
      <c r="U16" t="s">
        <v>63</v>
      </c>
      <c r="V16" t="s">
        <v>64</v>
      </c>
      <c r="X16">
        <v>40</v>
      </c>
      <c r="Y16">
        <v>80165</v>
      </c>
      <c r="Z16">
        <f>Y16*X16</f>
        <v>3206600</v>
      </c>
      <c r="AE16">
        <v>8</v>
      </c>
      <c r="AJ16" t="s">
        <v>65</v>
      </c>
      <c r="AM16" t="s">
        <v>66</v>
      </c>
      <c r="AN16" t="s">
        <v>70</v>
      </c>
      <c r="AO16" t="s">
        <v>71</v>
      </c>
      <c r="AQ16" t="s">
        <v>72</v>
      </c>
      <c r="AT16">
        <v>139</v>
      </c>
      <c r="AV16">
        <v>60</v>
      </c>
    </row>
    <row r="17" spans="1:48" x14ac:dyDescent="0.25">
      <c r="A17" t="s">
        <v>54</v>
      </c>
      <c r="B17" t="s">
        <v>55</v>
      </c>
      <c r="C17" t="s">
        <v>56</v>
      </c>
      <c r="D17" t="s">
        <v>57</v>
      </c>
      <c r="E17" t="s">
        <v>58</v>
      </c>
      <c r="G17" t="s">
        <v>59</v>
      </c>
      <c r="L17" t="s">
        <v>61</v>
      </c>
      <c r="Q17" t="s">
        <v>80</v>
      </c>
      <c r="S17" t="s">
        <v>81</v>
      </c>
      <c r="T17" t="s">
        <v>63</v>
      </c>
      <c r="U17" t="s">
        <v>62</v>
      </c>
      <c r="V17" t="s">
        <v>64</v>
      </c>
      <c r="X17">
        <v>40</v>
      </c>
      <c r="Y17">
        <v>0</v>
      </c>
      <c r="Z17">
        <v>0</v>
      </c>
      <c r="AE17">
        <v>8</v>
      </c>
      <c r="AJ17" t="s">
        <v>65</v>
      </c>
      <c r="AM17" t="s">
        <v>66</v>
      </c>
      <c r="AN17" t="s">
        <v>70</v>
      </c>
      <c r="AT17">
        <v>139</v>
      </c>
      <c r="AV17">
        <v>60</v>
      </c>
    </row>
    <row r="18" spans="1:48" x14ac:dyDescent="0.25">
      <c r="A18" t="s">
        <v>54</v>
      </c>
      <c r="B18" t="s">
        <v>55</v>
      </c>
      <c r="C18" t="s">
        <v>56</v>
      </c>
      <c r="D18" t="s">
        <v>57</v>
      </c>
      <c r="E18" t="s">
        <v>58</v>
      </c>
      <c r="G18" t="s">
        <v>59</v>
      </c>
      <c r="L18" t="s">
        <v>61</v>
      </c>
      <c r="Q18" t="s">
        <v>82</v>
      </c>
      <c r="S18" t="s">
        <v>83</v>
      </c>
      <c r="T18" t="s">
        <v>63</v>
      </c>
      <c r="U18" t="s">
        <v>63</v>
      </c>
      <c r="V18" t="s">
        <v>64</v>
      </c>
      <c r="X18">
        <v>40</v>
      </c>
      <c r="Y18">
        <v>80165</v>
      </c>
      <c r="Z18">
        <f>Y18*X18</f>
        <v>3206600</v>
      </c>
      <c r="AE18">
        <v>8</v>
      </c>
      <c r="AJ18" t="s">
        <v>65</v>
      </c>
      <c r="AM18" t="s">
        <v>66</v>
      </c>
      <c r="AN18" t="s">
        <v>70</v>
      </c>
      <c r="AO18" t="s">
        <v>71</v>
      </c>
      <c r="AQ18" t="s">
        <v>72</v>
      </c>
      <c r="AT18">
        <v>139</v>
      </c>
      <c r="AV18">
        <v>60</v>
      </c>
    </row>
    <row r="19" spans="1:48" x14ac:dyDescent="0.25">
      <c r="A19" t="s">
        <v>54</v>
      </c>
      <c r="B19" t="s">
        <v>55</v>
      </c>
      <c r="C19" t="s">
        <v>56</v>
      </c>
      <c r="D19" t="s">
        <v>57</v>
      </c>
      <c r="E19" t="s">
        <v>58</v>
      </c>
      <c r="G19" t="s">
        <v>59</v>
      </c>
      <c r="L19" t="s">
        <v>61</v>
      </c>
      <c r="Q19" t="s">
        <v>82</v>
      </c>
      <c r="S19" t="s">
        <v>83</v>
      </c>
      <c r="T19" t="s">
        <v>63</v>
      </c>
      <c r="U19" t="s">
        <v>62</v>
      </c>
      <c r="V19" t="s">
        <v>64</v>
      </c>
      <c r="X19">
        <v>40</v>
      </c>
      <c r="Y19">
        <v>0</v>
      </c>
      <c r="Z19">
        <v>0</v>
      </c>
      <c r="AE19">
        <v>8</v>
      </c>
      <c r="AJ19" t="s">
        <v>65</v>
      </c>
      <c r="AM19" t="s">
        <v>66</v>
      </c>
      <c r="AN19" t="s">
        <v>70</v>
      </c>
      <c r="AT19">
        <v>139</v>
      </c>
      <c r="AV19">
        <v>60</v>
      </c>
    </row>
    <row r="20" spans="1:48" x14ac:dyDescent="0.25">
      <c r="A20" t="s">
        <v>54</v>
      </c>
      <c r="B20" t="s">
        <v>55</v>
      </c>
      <c r="C20" t="s">
        <v>56</v>
      </c>
      <c r="D20" t="s">
        <v>57</v>
      </c>
      <c r="E20" t="s">
        <v>58</v>
      </c>
      <c r="G20" t="s">
        <v>59</v>
      </c>
      <c r="L20" t="s">
        <v>84</v>
      </c>
      <c r="Q20" t="s">
        <v>85</v>
      </c>
      <c r="S20" t="s">
        <v>86</v>
      </c>
      <c r="T20" t="s">
        <v>63</v>
      </c>
      <c r="U20" t="s">
        <v>63</v>
      </c>
      <c r="V20" t="s">
        <v>64</v>
      </c>
      <c r="X20">
        <v>12</v>
      </c>
      <c r="Y20">
        <v>40934.300000000003</v>
      </c>
      <c r="Z20">
        <f>Y20*X20</f>
        <v>491211.60000000003</v>
      </c>
      <c r="AE20">
        <v>8</v>
      </c>
      <c r="AJ20" t="s">
        <v>65</v>
      </c>
      <c r="AM20" t="s">
        <v>66</v>
      </c>
      <c r="AN20" t="s">
        <v>87</v>
      </c>
      <c r="AQ20" t="s">
        <v>88</v>
      </c>
      <c r="AT20">
        <v>17.88</v>
      </c>
      <c r="AV20">
        <v>60</v>
      </c>
    </row>
    <row r="21" spans="1:48" x14ac:dyDescent="0.25">
      <c r="A21" t="s">
        <v>54</v>
      </c>
      <c r="B21" t="s">
        <v>55</v>
      </c>
      <c r="C21" t="s">
        <v>56</v>
      </c>
      <c r="D21" t="s">
        <v>57</v>
      </c>
      <c r="E21" t="s">
        <v>58</v>
      </c>
      <c r="G21" t="s">
        <v>59</v>
      </c>
      <c r="L21" t="s">
        <v>89</v>
      </c>
      <c r="Q21" t="s">
        <v>85</v>
      </c>
      <c r="S21" t="s">
        <v>86</v>
      </c>
      <c r="T21" t="s">
        <v>63</v>
      </c>
      <c r="U21" t="s">
        <v>63</v>
      </c>
      <c r="V21" t="s">
        <v>64</v>
      </c>
      <c r="X21">
        <v>12</v>
      </c>
      <c r="Y21">
        <v>40934.300000000003</v>
      </c>
      <c r="Z21">
        <f>Y21*X21</f>
        <v>491211.60000000003</v>
      </c>
      <c r="AE21">
        <v>8</v>
      </c>
      <c r="AJ21" t="s">
        <v>65</v>
      </c>
      <c r="AM21" t="s">
        <v>66</v>
      </c>
      <c r="AN21" t="s">
        <v>90</v>
      </c>
      <c r="AQ21" t="s">
        <v>88</v>
      </c>
      <c r="AT21">
        <v>17.88</v>
      </c>
      <c r="AV21">
        <v>60</v>
      </c>
    </row>
    <row r="22" spans="1:48" x14ac:dyDescent="0.25">
      <c r="A22" t="s">
        <v>54</v>
      </c>
      <c r="B22" t="s">
        <v>55</v>
      </c>
      <c r="C22" t="s">
        <v>56</v>
      </c>
      <c r="D22" t="s">
        <v>57</v>
      </c>
      <c r="E22" t="s">
        <v>58</v>
      </c>
      <c r="G22" t="s">
        <v>59</v>
      </c>
      <c r="L22" t="s">
        <v>61</v>
      </c>
      <c r="Q22" t="s">
        <v>91</v>
      </c>
      <c r="S22" t="s">
        <v>92</v>
      </c>
      <c r="T22" t="s">
        <v>63</v>
      </c>
      <c r="U22" t="s">
        <v>63</v>
      </c>
      <c r="V22" t="s">
        <v>64</v>
      </c>
      <c r="X22">
        <v>200</v>
      </c>
      <c r="Y22">
        <v>15582</v>
      </c>
      <c r="Z22">
        <f>Y22*X22</f>
        <v>3116400</v>
      </c>
      <c r="AE22">
        <v>8</v>
      </c>
      <c r="AJ22" t="s">
        <v>65</v>
      </c>
      <c r="AM22" t="s">
        <v>66</v>
      </c>
      <c r="AN22" t="s">
        <v>90</v>
      </c>
      <c r="AT22">
        <v>22</v>
      </c>
      <c r="AV22">
        <v>60</v>
      </c>
    </row>
    <row r="23" spans="1:48" x14ac:dyDescent="0.25">
      <c r="A23" t="s">
        <v>54</v>
      </c>
      <c r="B23" t="s">
        <v>55</v>
      </c>
      <c r="C23" t="s">
        <v>56</v>
      </c>
      <c r="D23" t="s">
        <v>57</v>
      </c>
      <c r="E23" t="s">
        <v>58</v>
      </c>
      <c r="G23" t="s">
        <v>59</v>
      </c>
      <c r="L23" t="s">
        <v>93</v>
      </c>
      <c r="Q23" t="s">
        <v>75</v>
      </c>
      <c r="S23" t="s">
        <v>76</v>
      </c>
      <c r="T23" t="s">
        <v>63</v>
      </c>
      <c r="U23" t="s">
        <v>63</v>
      </c>
      <c r="V23" t="s">
        <v>64</v>
      </c>
      <c r="X23">
        <v>30</v>
      </c>
      <c r="Y23" s="47">
        <v>64434</v>
      </c>
      <c r="Z23">
        <f>Y23*X23</f>
        <v>1933020</v>
      </c>
      <c r="AE23">
        <v>8</v>
      </c>
      <c r="AJ23" t="s">
        <v>65</v>
      </c>
      <c r="AM23" t="s">
        <v>66</v>
      </c>
      <c r="AN23" t="s">
        <v>94</v>
      </c>
      <c r="AO23" t="s">
        <v>71</v>
      </c>
      <c r="AQ23" t="s">
        <v>77</v>
      </c>
      <c r="AT23">
        <v>69.000000000000014</v>
      </c>
      <c r="AV23">
        <v>60</v>
      </c>
    </row>
    <row r="24" spans="1:48" x14ac:dyDescent="0.25">
      <c r="A24" t="s">
        <v>54</v>
      </c>
      <c r="B24" t="s">
        <v>55</v>
      </c>
      <c r="C24" t="s">
        <v>56</v>
      </c>
      <c r="D24" t="s">
        <v>57</v>
      </c>
      <c r="E24" t="s">
        <v>58</v>
      </c>
      <c r="G24" t="s">
        <v>59</v>
      </c>
      <c r="L24" t="s">
        <v>61</v>
      </c>
      <c r="Q24" t="s">
        <v>78</v>
      </c>
      <c r="S24" t="s">
        <v>79</v>
      </c>
      <c r="T24" t="s">
        <v>63</v>
      </c>
      <c r="U24" t="s">
        <v>62</v>
      </c>
      <c r="V24" t="s">
        <v>64</v>
      </c>
      <c r="X24">
        <v>30</v>
      </c>
      <c r="Y24">
        <v>0</v>
      </c>
      <c r="Z24">
        <v>0</v>
      </c>
      <c r="AE24">
        <v>8</v>
      </c>
      <c r="AJ24" t="s">
        <v>65</v>
      </c>
      <c r="AM24" t="s">
        <v>66</v>
      </c>
      <c r="AN24" t="s">
        <v>94</v>
      </c>
      <c r="AT24">
        <v>28.5</v>
      </c>
      <c r="AV24">
        <v>60</v>
      </c>
    </row>
    <row r="25" spans="1:48" x14ac:dyDescent="0.25">
      <c r="A25" t="s">
        <v>54</v>
      </c>
      <c r="B25" t="s">
        <v>55</v>
      </c>
      <c r="C25" t="s">
        <v>56</v>
      </c>
      <c r="D25" t="s">
        <v>57</v>
      </c>
      <c r="E25" t="s">
        <v>58</v>
      </c>
      <c r="G25" t="s">
        <v>59</v>
      </c>
      <c r="L25" t="s">
        <v>61</v>
      </c>
      <c r="Q25" t="s">
        <v>95</v>
      </c>
      <c r="S25" t="s">
        <v>96</v>
      </c>
      <c r="T25" t="s">
        <v>63</v>
      </c>
      <c r="U25" t="s">
        <v>63</v>
      </c>
      <c r="V25" t="s">
        <v>64</v>
      </c>
      <c r="X25">
        <v>30</v>
      </c>
      <c r="Y25" s="47">
        <v>64434</v>
      </c>
      <c r="Z25">
        <f>Y25*X25</f>
        <v>1933020</v>
      </c>
      <c r="AE25">
        <v>8</v>
      </c>
      <c r="AJ25" t="s">
        <v>65</v>
      </c>
      <c r="AM25" t="s">
        <v>66</v>
      </c>
      <c r="AN25" t="s">
        <v>94</v>
      </c>
      <c r="AO25" t="s">
        <v>71</v>
      </c>
      <c r="AQ25" t="s">
        <v>77</v>
      </c>
      <c r="AT25">
        <v>69.000000000000014</v>
      </c>
      <c r="AV25">
        <v>60</v>
      </c>
    </row>
    <row r="26" spans="1:48" x14ac:dyDescent="0.25">
      <c r="A26" t="s">
        <v>54</v>
      </c>
      <c r="B26" t="s">
        <v>55</v>
      </c>
      <c r="C26" t="s">
        <v>56</v>
      </c>
      <c r="D26" t="s">
        <v>57</v>
      </c>
      <c r="E26" t="s">
        <v>58</v>
      </c>
      <c r="G26" t="s">
        <v>59</v>
      </c>
      <c r="L26" t="s">
        <v>61</v>
      </c>
      <c r="Q26" t="s">
        <v>78</v>
      </c>
      <c r="S26" t="s">
        <v>79</v>
      </c>
      <c r="T26" t="s">
        <v>63</v>
      </c>
      <c r="U26" t="s">
        <v>62</v>
      </c>
      <c r="V26" t="s">
        <v>64</v>
      </c>
      <c r="X26">
        <v>30</v>
      </c>
      <c r="Y26">
        <v>0</v>
      </c>
      <c r="Z26">
        <v>0</v>
      </c>
      <c r="AE26">
        <v>8</v>
      </c>
      <c r="AJ26" t="s">
        <v>65</v>
      </c>
      <c r="AM26" t="s">
        <v>66</v>
      </c>
      <c r="AN26" t="s">
        <v>94</v>
      </c>
      <c r="AT26">
        <v>28.5</v>
      </c>
      <c r="AV26">
        <v>60</v>
      </c>
    </row>
    <row r="27" spans="1:48" x14ac:dyDescent="0.25">
      <c r="A27" t="s">
        <v>54</v>
      </c>
      <c r="B27" t="s">
        <v>55</v>
      </c>
      <c r="C27" t="s">
        <v>56</v>
      </c>
      <c r="D27" t="s">
        <v>57</v>
      </c>
      <c r="E27" t="s">
        <v>58</v>
      </c>
      <c r="G27" t="s">
        <v>59</v>
      </c>
      <c r="L27" t="s">
        <v>97</v>
      </c>
      <c r="Q27" t="s">
        <v>98</v>
      </c>
      <c r="S27" t="s">
        <v>99</v>
      </c>
      <c r="T27" t="s">
        <v>63</v>
      </c>
      <c r="U27" t="s">
        <v>63</v>
      </c>
      <c r="V27" t="s">
        <v>64</v>
      </c>
      <c r="X27">
        <v>24</v>
      </c>
      <c r="Y27" s="47">
        <v>42535</v>
      </c>
      <c r="Z27">
        <f t="shared" ref="Z27:Z33" si="0">Y27*X27</f>
        <v>1020840</v>
      </c>
      <c r="AE27">
        <v>8</v>
      </c>
      <c r="AJ27" t="s">
        <v>65</v>
      </c>
      <c r="AM27" t="s">
        <v>66</v>
      </c>
      <c r="AN27" t="s">
        <v>100</v>
      </c>
      <c r="AQ27" t="s">
        <v>101</v>
      </c>
      <c r="AT27">
        <v>10.08</v>
      </c>
      <c r="AV27">
        <v>60</v>
      </c>
    </row>
    <row r="28" spans="1:48" x14ac:dyDescent="0.25">
      <c r="A28" t="s">
        <v>54</v>
      </c>
      <c r="B28" t="s">
        <v>55</v>
      </c>
      <c r="C28" t="s">
        <v>56</v>
      </c>
      <c r="D28" t="s">
        <v>57</v>
      </c>
      <c r="E28" t="s">
        <v>58</v>
      </c>
      <c r="G28" t="s">
        <v>59</v>
      </c>
      <c r="L28" t="s">
        <v>102</v>
      </c>
      <c r="Q28" t="s">
        <v>103</v>
      </c>
      <c r="S28" t="s">
        <v>104</v>
      </c>
      <c r="T28" t="s">
        <v>63</v>
      </c>
      <c r="U28" t="s">
        <v>63</v>
      </c>
      <c r="V28" t="s">
        <v>64</v>
      </c>
      <c r="X28">
        <v>24</v>
      </c>
      <c r="Y28" s="47">
        <v>41965</v>
      </c>
      <c r="Z28">
        <f t="shared" si="0"/>
        <v>1007160</v>
      </c>
      <c r="AE28">
        <v>8</v>
      </c>
      <c r="AJ28" t="s">
        <v>65</v>
      </c>
      <c r="AM28" t="s">
        <v>66</v>
      </c>
      <c r="AN28" t="s">
        <v>105</v>
      </c>
      <c r="AQ28" t="s">
        <v>101</v>
      </c>
      <c r="AT28">
        <v>10.08</v>
      </c>
      <c r="AV28">
        <v>60</v>
      </c>
    </row>
    <row r="29" spans="1:48" x14ac:dyDescent="0.25">
      <c r="A29" t="s">
        <v>54</v>
      </c>
      <c r="B29" t="s">
        <v>55</v>
      </c>
      <c r="C29" t="s">
        <v>56</v>
      </c>
      <c r="D29" t="s">
        <v>57</v>
      </c>
      <c r="E29" t="s">
        <v>58</v>
      </c>
      <c r="G29" t="s">
        <v>59</v>
      </c>
      <c r="L29" t="s">
        <v>61</v>
      </c>
      <c r="Q29" t="s">
        <v>106</v>
      </c>
      <c r="S29" t="s">
        <v>107</v>
      </c>
      <c r="T29" t="s">
        <v>63</v>
      </c>
      <c r="U29" t="s">
        <v>63</v>
      </c>
      <c r="V29" t="s">
        <v>64</v>
      </c>
      <c r="X29">
        <v>24</v>
      </c>
      <c r="Y29" s="47">
        <v>41965</v>
      </c>
      <c r="Z29">
        <f t="shared" si="0"/>
        <v>1007160</v>
      </c>
      <c r="AE29">
        <v>8</v>
      </c>
      <c r="AJ29" t="s">
        <v>65</v>
      </c>
      <c r="AM29" t="s">
        <v>66</v>
      </c>
      <c r="AN29" t="s">
        <v>105</v>
      </c>
      <c r="AQ29" t="s">
        <v>101</v>
      </c>
      <c r="AT29">
        <v>10.08</v>
      </c>
      <c r="AV29">
        <v>60</v>
      </c>
    </row>
    <row r="30" spans="1:48" x14ac:dyDescent="0.25">
      <c r="A30" t="s">
        <v>54</v>
      </c>
      <c r="B30" t="s">
        <v>55</v>
      </c>
      <c r="C30" t="s">
        <v>56</v>
      </c>
      <c r="D30" t="s">
        <v>57</v>
      </c>
      <c r="E30" t="s">
        <v>58</v>
      </c>
      <c r="G30" t="s">
        <v>59</v>
      </c>
      <c r="L30" t="s">
        <v>61</v>
      </c>
      <c r="Q30" t="s">
        <v>98</v>
      </c>
      <c r="S30" t="s">
        <v>99</v>
      </c>
      <c r="T30" t="s">
        <v>63</v>
      </c>
      <c r="U30" t="s">
        <v>63</v>
      </c>
      <c r="V30" t="s">
        <v>64</v>
      </c>
      <c r="X30">
        <v>24</v>
      </c>
      <c r="Y30" s="47">
        <v>42535</v>
      </c>
      <c r="Z30">
        <f t="shared" si="0"/>
        <v>1020840</v>
      </c>
      <c r="AE30">
        <v>8</v>
      </c>
      <c r="AJ30" t="s">
        <v>65</v>
      </c>
      <c r="AM30" t="s">
        <v>66</v>
      </c>
      <c r="AN30" t="s">
        <v>105</v>
      </c>
      <c r="AQ30" t="s">
        <v>101</v>
      </c>
      <c r="AT30">
        <v>10.08</v>
      </c>
      <c r="AV30">
        <v>60</v>
      </c>
    </row>
    <row r="31" spans="1:48" x14ac:dyDescent="0.25">
      <c r="A31" t="s">
        <v>54</v>
      </c>
      <c r="B31" t="s">
        <v>55</v>
      </c>
      <c r="C31" t="s">
        <v>56</v>
      </c>
      <c r="D31" t="s">
        <v>57</v>
      </c>
      <c r="E31" t="s">
        <v>58</v>
      </c>
      <c r="G31" t="s">
        <v>59</v>
      </c>
      <c r="L31" t="s">
        <v>108</v>
      </c>
      <c r="Q31" t="s">
        <v>85</v>
      </c>
      <c r="S31" t="s">
        <v>86</v>
      </c>
      <c r="T31" t="s">
        <v>63</v>
      </c>
      <c r="U31" t="s">
        <v>63</v>
      </c>
      <c r="V31" t="s">
        <v>64</v>
      </c>
      <c r="X31">
        <v>12</v>
      </c>
      <c r="Y31">
        <v>40934.300000000003</v>
      </c>
      <c r="Z31">
        <f t="shared" si="0"/>
        <v>491211.60000000003</v>
      </c>
      <c r="AE31">
        <v>8</v>
      </c>
      <c r="AJ31" t="s">
        <v>65</v>
      </c>
      <c r="AM31" t="s">
        <v>66</v>
      </c>
      <c r="AN31" t="s">
        <v>109</v>
      </c>
      <c r="AQ31" t="s">
        <v>88</v>
      </c>
      <c r="AT31">
        <v>17.88</v>
      </c>
      <c r="AV31">
        <v>60</v>
      </c>
    </row>
    <row r="32" spans="1:48" x14ac:dyDescent="0.25">
      <c r="A32" t="s">
        <v>54</v>
      </c>
      <c r="B32" t="s">
        <v>55</v>
      </c>
      <c r="C32" t="s">
        <v>56</v>
      </c>
      <c r="D32" t="s">
        <v>57</v>
      </c>
      <c r="E32" t="s">
        <v>58</v>
      </c>
      <c r="G32" t="s">
        <v>59</v>
      </c>
      <c r="L32" t="s">
        <v>61</v>
      </c>
      <c r="Q32" t="s">
        <v>106</v>
      </c>
      <c r="S32" t="s">
        <v>107</v>
      </c>
      <c r="T32" t="s">
        <v>63</v>
      </c>
      <c r="U32" t="s">
        <v>63</v>
      </c>
      <c r="V32" t="s">
        <v>64</v>
      </c>
      <c r="X32">
        <v>48</v>
      </c>
      <c r="Y32" s="47">
        <v>41965</v>
      </c>
      <c r="Z32">
        <f t="shared" si="0"/>
        <v>2014320</v>
      </c>
      <c r="AE32">
        <v>8</v>
      </c>
      <c r="AJ32" t="s">
        <v>65</v>
      </c>
      <c r="AM32" t="s">
        <v>66</v>
      </c>
      <c r="AN32" t="s">
        <v>109</v>
      </c>
      <c r="AQ32" t="s">
        <v>101</v>
      </c>
      <c r="AT32">
        <v>20.16</v>
      </c>
      <c r="AV32">
        <v>60</v>
      </c>
    </row>
    <row r="33" spans="1:48" x14ac:dyDescent="0.25">
      <c r="A33" t="s">
        <v>54</v>
      </c>
      <c r="B33" t="s">
        <v>55</v>
      </c>
      <c r="C33" t="s">
        <v>56</v>
      </c>
      <c r="D33" t="s">
        <v>57</v>
      </c>
      <c r="E33" t="s">
        <v>58</v>
      </c>
      <c r="G33" t="s">
        <v>59</v>
      </c>
      <c r="L33" t="s">
        <v>110</v>
      </c>
      <c r="Q33" t="s">
        <v>68</v>
      </c>
      <c r="S33" t="s">
        <v>69</v>
      </c>
      <c r="T33" t="s">
        <v>63</v>
      </c>
      <c r="U33" t="s">
        <v>63</v>
      </c>
      <c r="V33" t="s">
        <v>64</v>
      </c>
      <c r="X33">
        <v>20</v>
      </c>
      <c r="Y33">
        <v>162138</v>
      </c>
      <c r="Z33">
        <f t="shared" si="0"/>
        <v>3242760</v>
      </c>
      <c r="AE33">
        <v>8</v>
      </c>
      <c r="AJ33" t="s">
        <v>65</v>
      </c>
      <c r="AM33" t="s">
        <v>66</v>
      </c>
      <c r="AN33" t="s">
        <v>109</v>
      </c>
      <c r="AO33" t="s">
        <v>71</v>
      </c>
      <c r="AQ33" t="s">
        <v>72</v>
      </c>
      <c r="AT33">
        <v>76</v>
      </c>
      <c r="AV33">
        <v>60</v>
      </c>
    </row>
    <row r="34" spans="1:48" x14ac:dyDescent="0.25">
      <c r="A34" t="s">
        <v>54</v>
      </c>
      <c r="B34" t="s">
        <v>55</v>
      </c>
      <c r="C34" t="s">
        <v>56</v>
      </c>
      <c r="D34" t="s">
        <v>57</v>
      </c>
      <c r="E34" t="s">
        <v>58</v>
      </c>
      <c r="G34" t="s">
        <v>59</v>
      </c>
      <c r="L34" t="s">
        <v>61</v>
      </c>
      <c r="Q34" t="s">
        <v>68</v>
      </c>
      <c r="S34" t="s">
        <v>69</v>
      </c>
      <c r="T34" t="s">
        <v>63</v>
      </c>
      <c r="U34" t="s">
        <v>62</v>
      </c>
      <c r="V34" t="s">
        <v>64</v>
      </c>
      <c r="X34">
        <v>20</v>
      </c>
      <c r="Y34">
        <v>0</v>
      </c>
      <c r="Z34">
        <v>0</v>
      </c>
      <c r="AE34">
        <v>8</v>
      </c>
      <c r="AJ34" t="s">
        <v>65</v>
      </c>
      <c r="AM34" t="s">
        <v>66</v>
      </c>
      <c r="AN34" t="s">
        <v>109</v>
      </c>
      <c r="AT34">
        <v>76</v>
      </c>
      <c r="AV34">
        <v>60</v>
      </c>
    </row>
    <row r="35" spans="1:48" x14ac:dyDescent="0.25">
      <c r="A35" t="s">
        <v>54</v>
      </c>
      <c r="B35" t="s">
        <v>55</v>
      </c>
      <c r="C35" t="s">
        <v>56</v>
      </c>
      <c r="D35" t="s">
        <v>57</v>
      </c>
      <c r="E35" t="s">
        <v>58</v>
      </c>
      <c r="G35" t="s">
        <v>59</v>
      </c>
      <c r="L35" t="s">
        <v>61</v>
      </c>
      <c r="Q35" t="s">
        <v>111</v>
      </c>
      <c r="S35" t="s">
        <v>112</v>
      </c>
      <c r="T35" t="s">
        <v>63</v>
      </c>
      <c r="U35" t="s">
        <v>63</v>
      </c>
      <c r="V35" t="s">
        <v>64</v>
      </c>
      <c r="X35">
        <v>12</v>
      </c>
      <c r="Y35">
        <v>40934.300000000003</v>
      </c>
      <c r="Z35">
        <f>Y35*X35</f>
        <v>491211.60000000003</v>
      </c>
      <c r="AE35">
        <v>8</v>
      </c>
      <c r="AJ35" t="s">
        <v>65</v>
      </c>
      <c r="AM35" t="s">
        <v>66</v>
      </c>
      <c r="AN35" t="s">
        <v>109</v>
      </c>
      <c r="AQ35" t="s">
        <v>88</v>
      </c>
      <c r="AT35">
        <v>17.88</v>
      </c>
      <c r="AV35">
        <v>60</v>
      </c>
    </row>
    <row r="36" spans="1:48" x14ac:dyDescent="0.25">
      <c r="A36" t="s">
        <v>54</v>
      </c>
      <c r="B36" t="s">
        <v>55</v>
      </c>
      <c r="C36" t="s">
        <v>56</v>
      </c>
      <c r="D36" t="s">
        <v>57</v>
      </c>
      <c r="E36" t="s">
        <v>58</v>
      </c>
      <c r="G36" t="s">
        <v>59</v>
      </c>
      <c r="L36" t="s">
        <v>61</v>
      </c>
      <c r="Q36" t="s">
        <v>113</v>
      </c>
      <c r="S36" t="s">
        <v>114</v>
      </c>
      <c r="T36" t="s">
        <v>63</v>
      </c>
      <c r="U36" t="s">
        <v>63</v>
      </c>
      <c r="V36" t="s">
        <v>64</v>
      </c>
      <c r="X36">
        <v>20</v>
      </c>
      <c r="Y36" s="47">
        <v>40429</v>
      </c>
      <c r="Z36">
        <f>Y36*X36</f>
        <v>808580</v>
      </c>
      <c r="AE36">
        <v>8</v>
      </c>
      <c r="AJ36" t="s">
        <v>65</v>
      </c>
      <c r="AM36" t="s">
        <v>66</v>
      </c>
      <c r="AN36" t="s">
        <v>109</v>
      </c>
      <c r="AQ36" t="s">
        <v>101</v>
      </c>
      <c r="AT36">
        <v>10</v>
      </c>
      <c r="AV36">
        <v>60</v>
      </c>
    </row>
    <row r="37" spans="1:48" x14ac:dyDescent="0.25">
      <c r="A37" t="s">
        <v>54</v>
      </c>
      <c r="B37" t="s">
        <v>55</v>
      </c>
      <c r="C37" t="s">
        <v>56</v>
      </c>
      <c r="D37" t="s">
        <v>57</v>
      </c>
      <c r="E37" t="s">
        <v>58</v>
      </c>
      <c r="G37" t="s">
        <v>59</v>
      </c>
      <c r="L37" t="s">
        <v>61</v>
      </c>
      <c r="Q37" t="s">
        <v>75</v>
      </c>
      <c r="S37" t="s">
        <v>76</v>
      </c>
      <c r="T37" t="s">
        <v>63</v>
      </c>
      <c r="U37" t="s">
        <v>63</v>
      </c>
      <c r="V37" t="s">
        <v>64</v>
      </c>
      <c r="X37">
        <v>12</v>
      </c>
      <c r="Y37" s="47">
        <v>64434</v>
      </c>
      <c r="Z37">
        <f>Y37*X37</f>
        <v>773208</v>
      </c>
      <c r="AE37">
        <v>8</v>
      </c>
      <c r="AJ37" t="s">
        <v>65</v>
      </c>
      <c r="AM37" t="s">
        <v>66</v>
      </c>
      <c r="AN37" t="s">
        <v>109</v>
      </c>
      <c r="AO37" t="s">
        <v>71</v>
      </c>
      <c r="AQ37" t="s">
        <v>77</v>
      </c>
      <c r="AT37">
        <v>27.6</v>
      </c>
      <c r="AV37">
        <v>60</v>
      </c>
    </row>
    <row r="38" spans="1:48" x14ac:dyDescent="0.25">
      <c r="A38" t="s">
        <v>54</v>
      </c>
      <c r="B38" t="s">
        <v>55</v>
      </c>
      <c r="C38" t="s">
        <v>56</v>
      </c>
      <c r="D38" t="s">
        <v>57</v>
      </c>
      <c r="E38" t="s">
        <v>58</v>
      </c>
      <c r="G38" t="s">
        <v>59</v>
      </c>
      <c r="L38" t="s">
        <v>61</v>
      </c>
      <c r="Q38" t="s">
        <v>78</v>
      </c>
      <c r="S38" t="s">
        <v>79</v>
      </c>
      <c r="T38" t="s">
        <v>63</v>
      </c>
      <c r="U38" t="s">
        <v>62</v>
      </c>
      <c r="V38" t="s">
        <v>64</v>
      </c>
      <c r="X38">
        <v>12</v>
      </c>
      <c r="Y38">
        <v>0</v>
      </c>
      <c r="Z38">
        <v>0</v>
      </c>
      <c r="AE38">
        <v>8</v>
      </c>
      <c r="AJ38" t="s">
        <v>65</v>
      </c>
      <c r="AM38" t="s">
        <v>66</v>
      </c>
      <c r="AN38" t="s">
        <v>109</v>
      </c>
      <c r="AT38">
        <v>11.4</v>
      </c>
      <c r="AV38">
        <v>60</v>
      </c>
    </row>
    <row r="39" spans="1:48" x14ac:dyDescent="0.25">
      <c r="A39" t="s">
        <v>54</v>
      </c>
      <c r="B39" t="s">
        <v>55</v>
      </c>
      <c r="C39" t="s">
        <v>56</v>
      </c>
      <c r="D39" t="s">
        <v>57</v>
      </c>
      <c r="E39" t="s">
        <v>58</v>
      </c>
      <c r="G39" t="s">
        <v>59</v>
      </c>
      <c r="L39" t="s">
        <v>61</v>
      </c>
      <c r="Q39" t="s">
        <v>80</v>
      </c>
      <c r="S39" t="s">
        <v>81</v>
      </c>
      <c r="T39" t="s">
        <v>63</v>
      </c>
      <c r="U39" t="s">
        <v>63</v>
      </c>
      <c r="V39" t="s">
        <v>64</v>
      </c>
      <c r="X39">
        <v>80</v>
      </c>
      <c r="Y39">
        <v>80165</v>
      </c>
      <c r="Z39">
        <f>Y39*X39</f>
        <v>6413200</v>
      </c>
      <c r="AE39">
        <v>8</v>
      </c>
      <c r="AJ39" t="s">
        <v>65</v>
      </c>
      <c r="AM39" t="s">
        <v>66</v>
      </c>
      <c r="AN39" t="s">
        <v>109</v>
      </c>
      <c r="AO39" t="s">
        <v>71</v>
      </c>
      <c r="AQ39" t="s">
        <v>72</v>
      </c>
      <c r="AT39">
        <v>278</v>
      </c>
      <c r="AV39">
        <v>60</v>
      </c>
    </row>
    <row r="40" spans="1:48" x14ac:dyDescent="0.25">
      <c r="A40" t="s">
        <v>54</v>
      </c>
      <c r="B40" t="s">
        <v>55</v>
      </c>
      <c r="C40" t="s">
        <v>56</v>
      </c>
      <c r="D40" t="s">
        <v>57</v>
      </c>
      <c r="E40" t="s">
        <v>58</v>
      </c>
      <c r="G40" t="s">
        <v>59</v>
      </c>
      <c r="L40" t="s">
        <v>61</v>
      </c>
      <c r="Q40" t="s">
        <v>80</v>
      </c>
      <c r="S40" t="s">
        <v>81</v>
      </c>
      <c r="T40" t="s">
        <v>63</v>
      </c>
      <c r="U40" t="s">
        <v>62</v>
      </c>
      <c r="V40" t="s">
        <v>64</v>
      </c>
      <c r="X40">
        <v>80</v>
      </c>
      <c r="Y40">
        <v>0</v>
      </c>
      <c r="Z40">
        <v>0</v>
      </c>
      <c r="AE40">
        <v>8</v>
      </c>
      <c r="AJ40" t="s">
        <v>65</v>
      </c>
      <c r="AM40" t="s">
        <v>66</v>
      </c>
      <c r="AN40" t="s">
        <v>109</v>
      </c>
      <c r="AT40">
        <v>278</v>
      </c>
      <c r="AV40">
        <v>60</v>
      </c>
    </row>
    <row r="41" spans="1:48" x14ac:dyDescent="0.25">
      <c r="A41" t="s">
        <v>54</v>
      </c>
      <c r="B41" t="s">
        <v>55</v>
      </c>
      <c r="C41" t="s">
        <v>56</v>
      </c>
      <c r="D41" t="s">
        <v>57</v>
      </c>
      <c r="E41" t="s">
        <v>58</v>
      </c>
      <c r="G41" t="s">
        <v>59</v>
      </c>
      <c r="L41" t="s">
        <v>61</v>
      </c>
      <c r="Q41" t="s">
        <v>115</v>
      </c>
      <c r="S41" t="s">
        <v>116</v>
      </c>
      <c r="T41" t="s">
        <v>63</v>
      </c>
      <c r="U41" t="s">
        <v>63</v>
      </c>
      <c r="V41" t="s">
        <v>64</v>
      </c>
      <c r="X41">
        <v>12</v>
      </c>
      <c r="Y41">
        <v>29479</v>
      </c>
      <c r="Z41">
        <f>Y41*X41</f>
        <v>353748</v>
      </c>
      <c r="AE41">
        <v>8</v>
      </c>
      <c r="AJ41" t="s">
        <v>65</v>
      </c>
      <c r="AM41" t="s">
        <v>66</v>
      </c>
      <c r="AN41" t="s">
        <v>109</v>
      </c>
      <c r="AT41">
        <v>14.4</v>
      </c>
      <c r="AV41">
        <v>60</v>
      </c>
    </row>
    <row r="42" spans="1:48" x14ac:dyDescent="0.25">
      <c r="A42" t="s">
        <v>54</v>
      </c>
      <c r="B42" t="s">
        <v>55</v>
      </c>
      <c r="C42" t="s">
        <v>56</v>
      </c>
      <c r="D42" t="s">
        <v>57</v>
      </c>
      <c r="E42" t="s">
        <v>58</v>
      </c>
      <c r="G42" t="s">
        <v>59</v>
      </c>
      <c r="L42" t="s">
        <v>61</v>
      </c>
      <c r="Q42" t="s">
        <v>117</v>
      </c>
      <c r="S42" t="s">
        <v>118</v>
      </c>
      <c r="T42" t="s">
        <v>63</v>
      </c>
      <c r="U42" t="s">
        <v>63</v>
      </c>
      <c r="V42" t="s">
        <v>64</v>
      </c>
      <c r="X42">
        <v>18</v>
      </c>
      <c r="Y42">
        <v>26612.65</v>
      </c>
      <c r="Z42">
        <f>Y42*X42</f>
        <v>479027.7</v>
      </c>
      <c r="AE42">
        <v>8</v>
      </c>
      <c r="AJ42" t="s">
        <v>65</v>
      </c>
      <c r="AM42" t="s">
        <v>66</v>
      </c>
      <c r="AN42" t="s">
        <v>109</v>
      </c>
      <c r="AQ42" t="s">
        <v>119</v>
      </c>
      <c r="AT42">
        <v>15.3</v>
      </c>
      <c r="AV42">
        <v>60</v>
      </c>
    </row>
    <row r="43" spans="1:48" x14ac:dyDescent="0.25">
      <c r="A43" t="s">
        <v>54</v>
      </c>
      <c r="B43" t="s">
        <v>55</v>
      </c>
      <c r="C43" t="s">
        <v>56</v>
      </c>
      <c r="D43" t="s">
        <v>57</v>
      </c>
      <c r="E43" t="s">
        <v>58</v>
      </c>
      <c r="G43" t="s">
        <v>59</v>
      </c>
      <c r="L43" t="s">
        <v>61</v>
      </c>
      <c r="Q43" t="s">
        <v>103</v>
      </c>
      <c r="S43" t="s">
        <v>104</v>
      </c>
      <c r="T43" t="s">
        <v>63</v>
      </c>
      <c r="U43" t="s">
        <v>63</v>
      </c>
      <c r="V43" t="s">
        <v>64</v>
      </c>
      <c r="X43">
        <v>24</v>
      </c>
      <c r="Y43" s="47">
        <v>41965</v>
      </c>
      <c r="Z43">
        <f>Y43*X43</f>
        <v>1007160</v>
      </c>
      <c r="AE43">
        <v>8</v>
      </c>
      <c r="AJ43" t="s">
        <v>65</v>
      </c>
      <c r="AM43" t="s">
        <v>66</v>
      </c>
      <c r="AN43" t="s">
        <v>109</v>
      </c>
      <c r="AQ43" t="s">
        <v>101</v>
      </c>
      <c r="AT43">
        <v>10.08</v>
      </c>
      <c r="AV43">
        <v>60</v>
      </c>
    </row>
    <row r="44" spans="1:48" x14ac:dyDescent="0.25">
      <c r="A44" t="s">
        <v>54</v>
      </c>
      <c r="B44" t="s">
        <v>55</v>
      </c>
      <c r="C44" t="s">
        <v>56</v>
      </c>
      <c r="D44" t="s">
        <v>57</v>
      </c>
      <c r="E44" t="s">
        <v>58</v>
      </c>
      <c r="G44" t="s">
        <v>59</v>
      </c>
      <c r="L44" t="s">
        <v>120</v>
      </c>
      <c r="Q44" t="s">
        <v>73</v>
      </c>
      <c r="S44" t="s">
        <v>74</v>
      </c>
      <c r="T44" t="s">
        <v>63</v>
      </c>
      <c r="U44" t="s">
        <v>63</v>
      </c>
      <c r="V44" t="s">
        <v>64</v>
      </c>
      <c r="X44">
        <v>8</v>
      </c>
      <c r="Y44">
        <v>162138</v>
      </c>
      <c r="Z44">
        <f>Y44*X44</f>
        <v>1297104</v>
      </c>
      <c r="AE44">
        <v>8</v>
      </c>
      <c r="AJ44" t="s">
        <v>65</v>
      </c>
      <c r="AM44" t="s">
        <v>66</v>
      </c>
      <c r="AN44" t="s">
        <v>121</v>
      </c>
      <c r="AO44" t="s">
        <v>71</v>
      </c>
      <c r="AQ44" t="s">
        <v>72</v>
      </c>
      <c r="AT44">
        <v>30.4</v>
      </c>
      <c r="AV44">
        <v>60</v>
      </c>
    </row>
    <row r="45" spans="1:48" x14ac:dyDescent="0.25">
      <c r="A45" t="s">
        <v>54</v>
      </c>
      <c r="B45" t="s">
        <v>55</v>
      </c>
      <c r="C45" t="s">
        <v>56</v>
      </c>
      <c r="D45" t="s">
        <v>57</v>
      </c>
      <c r="E45" t="s">
        <v>58</v>
      </c>
      <c r="G45" t="s">
        <v>59</v>
      </c>
      <c r="L45" t="s">
        <v>61</v>
      </c>
      <c r="Q45" t="s">
        <v>73</v>
      </c>
      <c r="S45" t="s">
        <v>74</v>
      </c>
      <c r="T45" t="s">
        <v>63</v>
      </c>
      <c r="U45" t="s">
        <v>62</v>
      </c>
      <c r="V45" t="s">
        <v>64</v>
      </c>
      <c r="X45">
        <v>8</v>
      </c>
      <c r="Y45">
        <v>0</v>
      </c>
      <c r="Z45">
        <v>0</v>
      </c>
      <c r="AE45">
        <v>8</v>
      </c>
      <c r="AJ45" t="s">
        <v>65</v>
      </c>
      <c r="AM45" t="s">
        <v>66</v>
      </c>
      <c r="AN45" t="s">
        <v>121</v>
      </c>
      <c r="AT45">
        <v>30.4</v>
      </c>
      <c r="AV45">
        <v>60</v>
      </c>
    </row>
    <row r="46" spans="1:48" x14ac:dyDescent="0.25">
      <c r="A46" t="s">
        <v>54</v>
      </c>
      <c r="B46" t="s">
        <v>55</v>
      </c>
      <c r="C46" t="s">
        <v>56</v>
      </c>
      <c r="D46" t="s">
        <v>57</v>
      </c>
      <c r="E46" t="s">
        <v>58</v>
      </c>
      <c r="G46" t="s">
        <v>59</v>
      </c>
      <c r="L46" t="s">
        <v>122</v>
      </c>
      <c r="Q46" t="s">
        <v>85</v>
      </c>
      <c r="S46" t="s">
        <v>86</v>
      </c>
      <c r="T46" t="s">
        <v>63</v>
      </c>
      <c r="U46" t="s">
        <v>63</v>
      </c>
      <c r="V46" t="s">
        <v>64</v>
      </c>
      <c r="X46">
        <v>12</v>
      </c>
      <c r="Y46">
        <v>40934.300000000003</v>
      </c>
      <c r="Z46">
        <f>Y46*X46</f>
        <v>491211.60000000003</v>
      </c>
      <c r="AE46">
        <v>8</v>
      </c>
      <c r="AJ46" t="s">
        <v>65</v>
      </c>
      <c r="AM46" t="s">
        <v>66</v>
      </c>
      <c r="AN46" t="s">
        <v>123</v>
      </c>
      <c r="AQ46" t="s">
        <v>88</v>
      </c>
      <c r="AT46">
        <v>17.88</v>
      </c>
      <c r="AV46">
        <v>60</v>
      </c>
    </row>
    <row r="47" spans="1:48" x14ac:dyDescent="0.25">
      <c r="A47" t="s">
        <v>54</v>
      </c>
      <c r="B47" t="s">
        <v>55</v>
      </c>
      <c r="C47" t="s">
        <v>56</v>
      </c>
      <c r="D47" t="s">
        <v>57</v>
      </c>
      <c r="E47" t="s">
        <v>58</v>
      </c>
      <c r="G47" t="s">
        <v>59</v>
      </c>
      <c r="L47" t="s">
        <v>61</v>
      </c>
      <c r="Q47" t="s">
        <v>75</v>
      </c>
      <c r="S47" t="s">
        <v>76</v>
      </c>
      <c r="T47" t="s">
        <v>63</v>
      </c>
      <c r="U47" t="s">
        <v>63</v>
      </c>
      <c r="V47" t="s">
        <v>64</v>
      </c>
      <c r="X47">
        <v>30</v>
      </c>
      <c r="Y47" s="47">
        <v>64434</v>
      </c>
      <c r="Z47">
        <f>Y47*X47</f>
        <v>1933020</v>
      </c>
      <c r="AE47">
        <v>8</v>
      </c>
      <c r="AJ47" t="s">
        <v>65</v>
      </c>
      <c r="AM47" t="s">
        <v>66</v>
      </c>
      <c r="AN47" t="s">
        <v>123</v>
      </c>
      <c r="AO47" t="s">
        <v>71</v>
      </c>
      <c r="AQ47" t="s">
        <v>77</v>
      </c>
      <c r="AT47">
        <v>69.000000000000014</v>
      </c>
      <c r="AV47">
        <v>60</v>
      </c>
    </row>
    <row r="48" spans="1:48" x14ac:dyDescent="0.25">
      <c r="A48" t="s">
        <v>54</v>
      </c>
      <c r="B48" t="s">
        <v>55</v>
      </c>
      <c r="C48" t="s">
        <v>56</v>
      </c>
      <c r="D48" t="s">
        <v>57</v>
      </c>
      <c r="E48" t="s">
        <v>58</v>
      </c>
      <c r="G48" t="s">
        <v>59</v>
      </c>
      <c r="L48" t="s">
        <v>61</v>
      </c>
      <c r="Q48" t="s">
        <v>78</v>
      </c>
      <c r="S48" t="s">
        <v>79</v>
      </c>
      <c r="T48" t="s">
        <v>63</v>
      </c>
      <c r="U48" t="s">
        <v>62</v>
      </c>
      <c r="V48" t="s">
        <v>64</v>
      </c>
      <c r="X48">
        <v>30</v>
      </c>
      <c r="Y48">
        <v>0</v>
      </c>
      <c r="Z48">
        <v>0</v>
      </c>
      <c r="AE48">
        <v>8</v>
      </c>
      <c r="AJ48" t="s">
        <v>65</v>
      </c>
      <c r="AM48" t="s">
        <v>66</v>
      </c>
      <c r="AN48" t="s">
        <v>123</v>
      </c>
      <c r="AT48">
        <v>28.5</v>
      </c>
      <c r="AV48">
        <v>60</v>
      </c>
    </row>
    <row r="49" spans="1:48" x14ac:dyDescent="0.25">
      <c r="A49" t="s">
        <v>54</v>
      </c>
      <c r="B49" t="s">
        <v>55</v>
      </c>
      <c r="C49" t="s">
        <v>56</v>
      </c>
      <c r="D49" t="s">
        <v>57</v>
      </c>
      <c r="E49" t="s">
        <v>58</v>
      </c>
      <c r="G49" t="s">
        <v>59</v>
      </c>
      <c r="L49" t="s">
        <v>61</v>
      </c>
      <c r="Q49" t="s">
        <v>80</v>
      </c>
      <c r="S49" t="s">
        <v>81</v>
      </c>
      <c r="T49" t="s">
        <v>63</v>
      </c>
      <c r="U49" t="s">
        <v>63</v>
      </c>
      <c r="V49" t="s">
        <v>64</v>
      </c>
      <c r="X49">
        <v>40</v>
      </c>
      <c r="Y49">
        <v>80165</v>
      </c>
      <c r="Z49">
        <f>Y49*X49</f>
        <v>3206600</v>
      </c>
      <c r="AE49">
        <v>8</v>
      </c>
      <c r="AJ49" t="s">
        <v>65</v>
      </c>
      <c r="AM49" t="s">
        <v>66</v>
      </c>
      <c r="AN49" t="s">
        <v>123</v>
      </c>
      <c r="AO49" t="s">
        <v>71</v>
      </c>
      <c r="AQ49" t="s">
        <v>72</v>
      </c>
      <c r="AT49">
        <v>139</v>
      </c>
      <c r="AV49">
        <v>60</v>
      </c>
    </row>
    <row r="50" spans="1:48" x14ac:dyDescent="0.25">
      <c r="A50" t="s">
        <v>54</v>
      </c>
      <c r="B50" t="s">
        <v>55</v>
      </c>
      <c r="C50" t="s">
        <v>56</v>
      </c>
      <c r="D50" t="s">
        <v>57</v>
      </c>
      <c r="E50" t="s">
        <v>58</v>
      </c>
      <c r="G50" t="s">
        <v>59</v>
      </c>
      <c r="L50" t="s">
        <v>61</v>
      </c>
      <c r="Q50" t="s">
        <v>80</v>
      </c>
      <c r="S50" t="s">
        <v>81</v>
      </c>
      <c r="T50" t="s">
        <v>63</v>
      </c>
      <c r="U50" t="s">
        <v>62</v>
      </c>
      <c r="V50" t="s">
        <v>64</v>
      </c>
      <c r="X50">
        <v>40</v>
      </c>
      <c r="Y50">
        <v>0</v>
      </c>
      <c r="Z50">
        <v>0</v>
      </c>
      <c r="AE50">
        <v>8</v>
      </c>
      <c r="AJ50" t="s">
        <v>65</v>
      </c>
      <c r="AM50" t="s">
        <v>66</v>
      </c>
      <c r="AN50" t="s">
        <v>123</v>
      </c>
      <c r="AT50">
        <v>139</v>
      </c>
      <c r="AV50">
        <v>60</v>
      </c>
    </row>
    <row r="51" spans="1:48" x14ac:dyDescent="0.25">
      <c r="A51" t="s">
        <v>54</v>
      </c>
      <c r="B51" t="s">
        <v>55</v>
      </c>
      <c r="C51" t="s">
        <v>56</v>
      </c>
      <c r="D51" t="s">
        <v>57</v>
      </c>
      <c r="E51" t="s">
        <v>58</v>
      </c>
      <c r="G51" t="s">
        <v>59</v>
      </c>
      <c r="L51" t="s">
        <v>61</v>
      </c>
      <c r="Q51" t="s">
        <v>82</v>
      </c>
      <c r="S51" t="s">
        <v>83</v>
      </c>
      <c r="T51" t="s">
        <v>63</v>
      </c>
      <c r="U51" t="s">
        <v>63</v>
      </c>
      <c r="V51" t="s">
        <v>64</v>
      </c>
      <c r="X51">
        <v>40</v>
      </c>
      <c r="Y51">
        <v>80165</v>
      </c>
      <c r="Z51">
        <f>Y51*X51</f>
        <v>3206600</v>
      </c>
      <c r="AE51">
        <v>8</v>
      </c>
      <c r="AJ51" t="s">
        <v>65</v>
      </c>
      <c r="AM51" t="s">
        <v>66</v>
      </c>
      <c r="AN51" t="s">
        <v>123</v>
      </c>
      <c r="AO51" t="s">
        <v>71</v>
      </c>
      <c r="AQ51" t="s">
        <v>72</v>
      </c>
      <c r="AT51">
        <v>139</v>
      </c>
      <c r="AV51">
        <v>60</v>
      </c>
    </row>
    <row r="52" spans="1:48" x14ac:dyDescent="0.25">
      <c r="A52" t="s">
        <v>54</v>
      </c>
      <c r="B52" t="s">
        <v>55</v>
      </c>
      <c r="C52" t="s">
        <v>56</v>
      </c>
      <c r="D52" t="s">
        <v>57</v>
      </c>
      <c r="E52" t="s">
        <v>58</v>
      </c>
      <c r="G52" t="s">
        <v>59</v>
      </c>
      <c r="L52" t="s">
        <v>61</v>
      </c>
      <c r="Q52" t="s">
        <v>82</v>
      </c>
      <c r="S52" t="s">
        <v>83</v>
      </c>
      <c r="T52" t="s">
        <v>63</v>
      </c>
      <c r="U52" t="s">
        <v>62</v>
      </c>
      <c r="V52" t="s">
        <v>64</v>
      </c>
      <c r="X52">
        <v>40</v>
      </c>
      <c r="Y52">
        <v>0</v>
      </c>
      <c r="Z52">
        <v>0</v>
      </c>
      <c r="AE52">
        <v>8</v>
      </c>
      <c r="AJ52" t="s">
        <v>65</v>
      </c>
      <c r="AM52" t="s">
        <v>66</v>
      </c>
      <c r="AN52" t="s">
        <v>123</v>
      </c>
      <c r="AT52">
        <v>139</v>
      </c>
      <c r="AV52">
        <v>60</v>
      </c>
    </row>
    <row r="53" spans="1:48" x14ac:dyDescent="0.25">
      <c r="A53" t="s">
        <v>54</v>
      </c>
      <c r="B53" t="s">
        <v>55</v>
      </c>
      <c r="C53" t="s">
        <v>56</v>
      </c>
      <c r="D53" t="s">
        <v>57</v>
      </c>
      <c r="E53" t="s">
        <v>58</v>
      </c>
      <c r="G53" t="s">
        <v>59</v>
      </c>
      <c r="L53" t="s">
        <v>124</v>
      </c>
      <c r="Q53" t="s">
        <v>85</v>
      </c>
      <c r="S53" t="s">
        <v>86</v>
      </c>
      <c r="T53" t="s">
        <v>63</v>
      </c>
      <c r="U53" t="s">
        <v>63</v>
      </c>
      <c r="V53" t="s">
        <v>64</v>
      </c>
      <c r="X53">
        <v>12</v>
      </c>
      <c r="Y53">
        <v>40934.300000000003</v>
      </c>
      <c r="Z53">
        <f>Y53*X53</f>
        <v>491211.60000000003</v>
      </c>
      <c r="AE53">
        <v>8</v>
      </c>
      <c r="AJ53" t="s">
        <v>65</v>
      </c>
      <c r="AM53" t="s">
        <v>66</v>
      </c>
      <c r="AN53" t="s">
        <v>125</v>
      </c>
      <c r="AQ53" t="s">
        <v>88</v>
      </c>
      <c r="AT53">
        <v>17.88</v>
      </c>
      <c r="AV53">
        <v>60</v>
      </c>
    </row>
    <row r="54" spans="1:48" x14ac:dyDescent="0.25">
      <c r="A54" t="s">
        <v>54</v>
      </c>
      <c r="B54" t="s">
        <v>55</v>
      </c>
      <c r="C54" t="s">
        <v>56</v>
      </c>
      <c r="D54" t="s">
        <v>57</v>
      </c>
      <c r="E54" t="s">
        <v>58</v>
      </c>
      <c r="G54" t="s">
        <v>59</v>
      </c>
      <c r="L54" t="s">
        <v>61</v>
      </c>
      <c r="Q54" t="s">
        <v>91</v>
      </c>
      <c r="S54" t="s">
        <v>92</v>
      </c>
      <c r="T54" t="s">
        <v>63</v>
      </c>
      <c r="U54" t="s">
        <v>63</v>
      </c>
      <c r="V54" t="s">
        <v>64</v>
      </c>
      <c r="X54">
        <v>100</v>
      </c>
      <c r="Y54">
        <v>15582</v>
      </c>
      <c r="Z54">
        <f>Y54*X54</f>
        <v>1558200</v>
      </c>
      <c r="AE54">
        <v>8</v>
      </c>
      <c r="AJ54" t="s">
        <v>65</v>
      </c>
      <c r="AM54" t="s">
        <v>66</v>
      </c>
      <c r="AN54" t="s">
        <v>125</v>
      </c>
      <c r="AT54">
        <v>11</v>
      </c>
      <c r="AV54">
        <v>60</v>
      </c>
    </row>
    <row r="55" spans="1:48" x14ac:dyDescent="0.25">
      <c r="A55" t="s">
        <v>54</v>
      </c>
      <c r="B55" t="s">
        <v>55</v>
      </c>
      <c r="C55" t="s">
        <v>56</v>
      </c>
      <c r="D55" t="s">
        <v>57</v>
      </c>
      <c r="E55" t="s">
        <v>58</v>
      </c>
      <c r="G55" t="s">
        <v>59</v>
      </c>
      <c r="L55" t="s">
        <v>61</v>
      </c>
      <c r="Q55" t="s">
        <v>98</v>
      </c>
      <c r="S55" t="s">
        <v>99</v>
      </c>
      <c r="T55" t="s">
        <v>63</v>
      </c>
      <c r="U55" t="s">
        <v>63</v>
      </c>
      <c r="V55" t="s">
        <v>64</v>
      </c>
      <c r="X55">
        <v>24</v>
      </c>
      <c r="Y55" s="47">
        <v>42535</v>
      </c>
      <c r="Z55">
        <f>Y55*X55</f>
        <v>1020840</v>
      </c>
      <c r="AE55">
        <v>8</v>
      </c>
      <c r="AJ55" t="s">
        <v>65</v>
      </c>
      <c r="AM55" t="s">
        <v>66</v>
      </c>
      <c r="AN55" t="s">
        <v>125</v>
      </c>
      <c r="AQ55" t="s">
        <v>101</v>
      </c>
      <c r="AT55">
        <v>10.08</v>
      </c>
      <c r="AV55">
        <v>60</v>
      </c>
    </row>
    <row r="56" spans="1:48" x14ac:dyDescent="0.25">
      <c r="A56" t="s">
        <v>54</v>
      </c>
      <c r="B56" t="s">
        <v>55</v>
      </c>
      <c r="C56" t="s">
        <v>56</v>
      </c>
      <c r="D56" t="s">
        <v>57</v>
      </c>
      <c r="E56" t="s">
        <v>58</v>
      </c>
      <c r="G56" t="s">
        <v>59</v>
      </c>
      <c r="L56" t="s">
        <v>126</v>
      </c>
      <c r="Q56" t="s">
        <v>73</v>
      </c>
      <c r="S56" t="s">
        <v>74</v>
      </c>
      <c r="T56" t="s">
        <v>63</v>
      </c>
      <c r="U56" t="s">
        <v>63</v>
      </c>
      <c r="V56" t="s">
        <v>64</v>
      </c>
      <c r="X56">
        <v>20</v>
      </c>
      <c r="Y56">
        <v>162138</v>
      </c>
      <c r="Z56">
        <f>Y56*X56</f>
        <v>3242760</v>
      </c>
      <c r="AE56">
        <v>8</v>
      </c>
      <c r="AJ56" t="s">
        <v>65</v>
      </c>
      <c r="AM56" t="s">
        <v>66</v>
      </c>
      <c r="AN56" t="s">
        <v>127</v>
      </c>
      <c r="AO56" t="s">
        <v>71</v>
      </c>
      <c r="AQ56" t="s">
        <v>72</v>
      </c>
      <c r="AT56">
        <v>76</v>
      </c>
      <c r="AV56">
        <v>60</v>
      </c>
    </row>
    <row r="57" spans="1:48" x14ac:dyDescent="0.25">
      <c r="A57" t="s">
        <v>54</v>
      </c>
      <c r="B57" t="s">
        <v>55</v>
      </c>
      <c r="C57" t="s">
        <v>56</v>
      </c>
      <c r="D57" t="s">
        <v>57</v>
      </c>
      <c r="E57" t="s">
        <v>58</v>
      </c>
      <c r="G57" t="s">
        <v>59</v>
      </c>
      <c r="L57" t="s">
        <v>61</v>
      </c>
      <c r="Q57" t="s">
        <v>73</v>
      </c>
      <c r="S57" t="s">
        <v>74</v>
      </c>
      <c r="T57" t="s">
        <v>63</v>
      </c>
      <c r="U57" t="s">
        <v>62</v>
      </c>
      <c r="V57" t="s">
        <v>64</v>
      </c>
      <c r="X57">
        <v>20</v>
      </c>
      <c r="Y57">
        <v>0</v>
      </c>
      <c r="Z57">
        <v>0</v>
      </c>
      <c r="AE57">
        <v>8</v>
      </c>
      <c r="AJ57" t="s">
        <v>65</v>
      </c>
      <c r="AM57" t="s">
        <v>66</v>
      </c>
      <c r="AN57" t="s">
        <v>127</v>
      </c>
      <c r="AT57">
        <v>76</v>
      </c>
      <c r="AV57">
        <v>60</v>
      </c>
    </row>
    <row r="58" spans="1:48" x14ac:dyDescent="0.25">
      <c r="A58" t="s">
        <v>54</v>
      </c>
      <c r="B58" t="s">
        <v>55</v>
      </c>
      <c r="C58" t="s">
        <v>56</v>
      </c>
      <c r="D58" t="s">
        <v>57</v>
      </c>
      <c r="E58" t="s">
        <v>58</v>
      </c>
      <c r="G58" t="s">
        <v>59</v>
      </c>
      <c r="L58" t="s">
        <v>61</v>
      </c>
      <c r="Q58" t="s">
        <v>111</v>
      </c>
      <c r="S58" t="s">
        <v>112</v>
      </c>
      <c r="T58" t="s">
        <v>63</v>
      </c>
      <c r="U58" t="s">
        <v>63</v>
      </c>
      <c r="V58" t="s">
        <v>64</v>
      </c>
      <c r="X58">
        <v>12</v>
      </c>
      <c r="Y58">
        <v>40934.300000000003</v>
      </c>
      <c r="Z58">
        <f>Y58*X58</f>
        <v>491211.60000000003</v>
      </c>
      <c r="AE58">
        <v>8</v>
      </c>
      <c r="AJ58" t="s">
        <v>65</v>
      </c>
      <c r="AM58" t="s">
        <v>66</v>
      </c>
      <c r="AN58" t="s">
        <v>127</v>
      </c>
      <c r="AQ58" t="s">
        <v>88</v>
      </c>
      <c r="AT58">
        <v>17.88</v>
      </c>
      <c r="AV58">
        <v>60</v>
      </c>
    </row>
    <row r="59" spans="1:48" x14ac:dyDescent="0.25">
      <c r="A59" t="s">
        <v>54</v>
      </c>
      <c r="B59" t="s">
        <v>55</v>
      </c>
      <c r="C59" t="s">
        <v>56</v>
      </c>
      <c r="D59" t="s">
        <v>57</v>
      </c>
      <c r="E59" t="s">
        <v>58</v>
      </c>
      <c r="G59" t="s">
        <v>59</v>
      </c>
      <c r="L59" t="s">
        <v>61</v>
      </c>
      <c r="Q59" t="s">
        <v>115</v>
      </c>
      <c r="S59" t="s">
        <v>116</v>
      </c>
      <c r="T59" t="s">
        <v>63</v>
      </c>
      <c r="U59" t="s">
        <v>63</v>
      </c>
      <c r="V59" t="s">
        <v>64</v>
      </c>
      <c r="X59">
        <v>12</v>
      </c>
      <c r="Y59">
        <v>29479</v>
      </c>
      <c r="Z59">
        <f>Y59*X59</f>
        <v>353748</v>
      </c>
      <c r="AE59">
        <v>8</v>
      </c>
      <c r="AJ59" t="s">
        <v>65</v>
      </c>
      <c r="AM59" t="s">
        <v>66</v>
      </c>
      <c r="AN59" t="s">
        <v>127</v>
      </c>
      <c r="AT59">
        <v>14.4</v>
      </c>
      <c r="AV59">
        <v>60</v>
      </c>
    </row>
    <row r="60" spans="1:48" x14ac:dyDescent="0.25">
      <c r="A60" t="s">
        <v>54</v>
      </c>
      <c r="B60" t="s">
        <v>55</v>
      </c>
      <c r="C60" t="s">
        <v>56</v>
      </c>
      <c r="D60" t="s">
        <v>57</v>
      </c>
      <c r="E60" t="s">
        <v>58</v>
      </c>
      <c r="G60" t="s">
        <v>59</v>
      </c>
      <c r="L60" t="s">
        <v>128</v>
      </c>
      <c r="Q60" t="s">
        <v>80</v>
      </c>
      <c r="S60" t="s">
        <v>81</v>
      </c>
      <c r="T60" t="s">
        <v>63</v>
      </c>
      <c r="U60" t="s">
        <v>63</v>
      </c>
      <c r="V60" t="s">
        <v>64</v>
      </c>
      <c r="X60">
        <v>120</v>
      </c>
      <c r="Y60">
        <v>80165</v>
      </c>
      <c r="Z60">
        <f>Y60*X60</f>
        <v>9619800</v>
      </c>
      <c r="AE60">
        <v>8</v>
      </c>
      <c r="AJ60" t="s">
        <v>65</v>
      </c>
      <c r="AM60" t="s">
        <v>66</v>
      </c>
      <c r="AN60" t="s">
        <v>127</v>
      </c>
      <c r="AO60" t="s">
        <v>71</v>
      </c>
      <c r="AQ60" t="s">
        <v>72</v>
      </c>
      <c r="AT60">
        <v>417</v>
      </c>
      <c r="AV60">
        <v>60</v>
      </c>
    </row>
    <row r="61" spans="1:48" x14ac:dyDescent="0.25">
      <c r="A61" t="s">
        <v>54</v>
      </c>
      <c r="B61" t="s">
        <v>55</v>
      </c>
      <c r="C61" t="s">
        <v>56</v>
      </c>
      <c r="D61" t="s">
        <v>57</v>
      </c>
      <c r="E61" t="s">
        <v>58</v>
      </c>
      <c r="G61" t="s">
        <v>59</v>
      </c>
      <c r="L61" t="s">
        <v>61</v>
      </c>
      <c r="Q61" t="s">
        <v>80</v>
      </c>
      <c r="S61" t="s">
        <v>81</v>
      </c>
      <c r="T61" t="s">
        <v>63</v>
      </c>
      <c r="U61" t="s">
        <v>62</v>
      </c>
      <c r="V61" t="s">
        <v>64</v>
      </c>
      <c r="X61">
        <v>120</v>
      </c>
      <c r="Y61">
        <v>0</v>
      </c>
      <c r="Z61">
        <v>0</v>
      </c>
      <c r="AE61">
        <v>8</v>
      </c>
      <c r="AJ61" t="s">
        <v>65</v>
      </c>
      <c r="AM61" t="s">
        <v>66</v>
      </c>
      <c r="AN61" t="s">
        <v>127</v>
      </c>
      <c r="AT61">
        <v>417</v>
      </c>
      <c r="AV61">
        <v>60</v>
      </c>
    </row>
    <row r="62" spans="1:48" x14ac:dyDescent="0.25">
      <c r="A62" t="s">
        <v>54</v>
      </c>
      <c r="B62" t="s">
        <v>55</v>
      </c>
      <c r="C62" t="s">
        <v>56</v>
      </c>
      <c r="D62" t="s">
        <v>57</v>
      </c>
      <c r="E62" t="s">
        <v>58</v>
      </c>
      <c r="G62" t="s">
        <v>59</v>
      </c>
      <c r="L62" t="s">
        <v>61</v>
      </c>
      <c r="Q62" t="s">
        <v>103</v>
      </c>
      <c r="S62" t="s">
        <v>104</v>
      </c>
      <c r="T62" t="s">
        <v>63</v>
      </c>
      <c r="U62" t="s">
        <v>63</v>
      </c>
      <c r="V62" t="s">
        <v>64</v>
      </c>
      <c r="X62">
        <v>24</v>
      </c>
      <c r="Y62" s="47">
        <v>41965</v>
      </c>
      <c r="Z62">
        <f t="shared" ref="Z62:Z67" si="1">Y62*X62</f>
        <v>1007160</v>
      </c>
      <c r="AE62">
        <v>8</v>
      </c>
      <c r="AJ62" t="s">
        <v>65</v>
      </c>
      <c r="AM62" t="s">
        <v>66</v>
      </c>
      <c r="AN62" t="s">
        <v>127</v>
      </c>
      <c r="AQ62" t="s">
        <v>101</v>
      </c>
      <c r="AT62">
        <v>10.08</v>
      </c>
      <c r="AV62">
        <v>60</v>
      </c>
    </row>
    <row r="63" spans="1:48" x14ac:dyDescent="0.25">
      <c r="A63" t="s">
        <v>54</v>
      </c>
      <c r="B63" t="s">
        <v>55</v>
      </c>
      <c r="C63" t="s">
        <v>56</v>
      </c>
      <c r="D63" t="s">
        <v>57</v>
      </c>
      <c r="E63" t="s">
        <v>58</v>
      </c>
      <c r="G63" t="s">
        <v>59</v>
      </c>
      <c r="L63" t="s">
        <v>61</v>
      </c>
      <c r="Q63" t="s">
        <v>106</v>
      </c>
      <c r="S63" t="s">
        <v>107</v>
      </c>
      <c r="T63" t="s">
        <v>63</v>
      </c>
      <c r="U63" t="s">
        <v>63</v>
      </c>
      <c r="V63" t="s">
        <v>64</v>
      </c>
      <c r="X63">
        <v>24</v>
      </c>
      <c r="Y63" s="47">
        <v>41965</v>
      </c>
      <c r="Z63">
        <f t="shared" si="1"/>
        <v>1007160</v>
      </c>
      <c r="AE63">
        <v>8</v>
      </c>
      <c r="AJ63" t="s">
        <v>65</v>
      </c>
      <c r="AM63" t="s">
        <v>66</v>
      </c>
      <c r="AN63" t="s">
        <v>127</v>
      </c>
      <c r="AQ63" t="s">
        <v>101</v>
      </c>
      <c r="AT63">
        <v>10.08</v>
      </c>
      <c r="AV63">
        <v>60</v>
      </c>
    </row>
    <row r="64" spans="1:48" x14ac:dyDescent="0.25">
      <c r="A64" t="s">
        <v>54</v>
      </c>
      <c r="B64" t="s">
        <v>55</v>
      </c>
      <c r="C64" t="s">
        <v>56</v>
      </c>
      <c r="D64" t="s">
        <v>57</v>
      </c>
      <c r="E64" t="s">
        <v>58</v>
      </c>
      <c r="G64" t="s">
        <v>59</v>
      </c>
      <c r="L64" t="s">
        <v>129</v>
      </c>
      <c r="Q64" t="s">
        <v>111</v>
      </c>
      <c r="S64" t="s">
        <v>112</v>
      </c>
      <c r="T64" t="s">
        <v>63</v>
      </c>
      <c r="U64" t="s">
        <v>63</v>
      </c>
      <c r="V64" t="s">
        <v>64</v>
      </c>
      <c r="X64">
        <v>12</v>
      </c>
      <c r="Y64">
        <v>40934.300000000003</v>
      </c>
      <c r="Z64">
        <f t="shared" si="1"/>
        <v>491211.60000000003</v>
      </c>
      <c r="AE64">
        <v>8</v>
      </c>
      <c r="AJ64" t="s">
        <v>65</v>
      </c>
      <c r="AM64" t="s">
        <v>66</v>
      </c>
      <c r="AN64" t="s">
        <v>130</v>
      </c>
      <c r="AQ64" t="s">
        <v>88</v>
      </c>
      <c r="AT64">
        <v>17.88</v>
      </c>
      <c r="AV64">
        <v>60</v>
      </c>
    </row>
    <row r="65" spans="1:48" x14ac:dyDescent="0.25">
      <c r="A65" t="s">
        <v>54</v>
      </c>
      <c r="B65" t="s">
        <v>55</v>
      </c>
      <c r="C65" t="s">
        <v>56</v>
      </c>
      <c r="D65" t="s">
        <v>57</v>
      </c>
      <c r="E65" t="s">
        <v>58</v>
      </c>
      <c r="G65" t="s">
        <v>59</v>
      </c>
      <c r="L65" t="s">
        <v>61</v>
      </c>
      <c r="Q65" t="s">
        <v>91</v>
      </c>
      <c r="S65" t="s">
        <v>92</v>
      </c>
      <c r="T65" t="s">
        <v>63</v>
      </c>
      <c r="U65" t="s">
        <v>63</v>
      </c>
      <c r="V65" t="s">
        <v>64</v>
      </c>
      <c r="X65">
        <v>100</v>
      </c>
      <c r="Y65">
        <v>15582</v>
      </c>
      <c r="Z65">
        <f t="shared" si="1"/>
        <v>1558200</v>
      </c>
      <c r="AE65">
        <v>8</v>
      </c>
      <c r="AJ65" t="s">
        <v>65</v>
      </c>
      <c r="AM65" t="s">
        <v>66</v>
      </c>
      <c r="AN65" t="s">
        <v>130</v>
      </c>
      <c r="AT65">
        <v>11</v>
      </c>
      <c r="AV65">
        <v>60</v>
      </c>
    </row>
    <row r="66" spans="1:48" x14ac:dyDescent="0.25">
      <c r="A66" t="s">
        <v>54</v>
      </c>
      <c r="B66" t="s">
        <v>55</v>
      </c>
      <c r="C66" t="s">
        <v>56</v>
      </c>
      <c r="D66" t="s">
        <v>57</v>
      </c>
      <c r="E66" t="s">
        <v>58</v>
      </c>
      <c r="G66" t="s">
        <v>59</v>
      </c>
      <c r="L66" t="s">
        <v>61</v>
      </c>
      <c r="Q66" t="s">
        <v>131</v>
      </c>
      <c r="S66" t="s">
        <v>132</v>
      </c>
      <c r="T66" t="s">
        <v>63</v>
      </c>
      <c r="U66" t="s">
        <v>63</v>
      </c>
      <c r="V66" t="s">
        <v>64</v>
      </c>
      <c r="X66">
        <v>40</v>
      </c>
      <c r="Y66">
        <v>38182</v>
      </c>
      <c r="Z66">
        <f t="shared" si="1"/>
        <v>1527280</v>
      </c>
      <c r="AE66">
        <v>8</v>
      </c>
      <c r="AJ66" t="s">
        <v>65</v>
      </c>
      <c r="AM66" t="s">
        <v>66</v>
      </c>
      <c r="AN66" t="s">
        <v>130</v>
      </c>
      <c r="AT66">
        <v>10</v>
      </c>
      <c r="AV66">
        <v>60</v>
      </c>
    </row>
    <row r="67" spans="1:48" x14ac:dyDescent="0.25">
      <c r="A67" t="s">
        <v>54</v>
      </c>
      <c r="B67" t="s">
        <v>55</v>
      </c>
      <c r="C67" t="s">
        <v>56</v>
      </c>
      <c r="D67" t="s">
        <v>57</v>
      </c>
      <c r="E67" t="s">
        <v>58</v>
      </c>
      <c r="G67" t="s">
        <v>59</v>
      </c>
      <c r="L67" t="s">
        <v>133</v>
      </c>
      <c r="Q67" t="s">
        <v>134</v>
      </c>
      <c r="S67" t="s">
        <v>135</v>
      </c>
      <c r="T67" t="s">
        <v>63</v>
      </c>
      <c r="U67" t="s">
        <v>63</v>
      </c>
      <c r="V67" t="s">
        <v>64</v>
      </c>
      <c r="X67">
        <v>20</v>
      </c>
      <c r="Y67">
        <v>176878</v>
      </c>
      <c r="Z67">
        <f t="shared" si="1"/>
        <v>3537560</v>
      </c>
      <c r="AE67">
        <v>8</v>
      </c>
      <c r="AJ67" t="s">
        <v>65</v>
      </c>
      <c r="AM67" t="s">
        <v>66</v>
      </c>
      <c r="AN67" t="s">
        <v>136</v>
      </c>
      <c r="AO67" t="s">
        <v>71</v>
      </c>
      <c r="AQ67" t="s">
        <v>72</v>
      </c>
      <c r="AT67">
        <v>76</v>
      </c>
      <c r="AV67">
        <v>60</v>
      </c>
    </row>
    <row r="68" spans="1:48" x14ac:dyDescent="0.25">
      <c r="A68" t="s">
        <v>54</v>
      </c>
      <c r="B68" t="s">
        <v>55</v>
      </c>
      <c r="C68" t="s">
        <v>56</v>
      </c>
      <c r="D68" t="s">
        <v>57</v>
      </c>
      <c r="E68" t="s">
        <v>58</v>
      </c>
      <c r="G68" t="s">
        <v>59</v>
      </c>
      <c r="L68" t="s">
        <v>61</v>
      </c>
      <c r="Q68" t="s">
        <v>134</v>
      </c>
      <c r="S68" t="s">
        <v>135</v>
      </c>
      <c r="T68" t="s">
        <v>63</v>
      </c>
      <c r="U68" t="s">
        <v>62</v>
      </c>
      <c r="V68" t="s">
        <v>64</v>
      </c>
      <c r="X68">
        <v>20</v>
      </c>
      <c r="Y68">
        <v>0</v>
      </c>
      <c r="Z68">
        <v>0</v>
      </c>
      <c r="AE68">
        <v>8</v>
      </c>
      <c r="AJ68" t="s">
        <v>65</v>
      </c>
      <c r="AM68" t="s">
        <v>66</v>
      </c>
      <c r="AN68" t="s">
        <v>136</v>
      </c>
      <c r="AT68">
        <v>76</v>
      </c>
      <c r="AV68">
        <v>60</v>
      </c>
    </row>
    <row r="69" spans="1:48" x14ac:dyDescent="0.25">
      <c r="A69" t="s">
        <v>54</v>
      </c>
      <c r="B69" t="s">
        <v>55</v>
      </c>
      <c r="C69" t="s">
        <v>56</v>
      </c>
      <c r="D69" t="s">
        <v>57</v>
      </c>
      <c r="E69" t="s">
        <v>58</v>
      </c>
      <c r="G69" t="s">
        <v>59</v>
      </c>
      <c r="L69" t="s">
        <v>61</v>
      </c>
      <c r="Q69" t="s">
        <v>137</v>
      </c>
      <c r="S69" t="s">
        <v>138</v>
      </c>
      <c r="T69" t="s">
        <v>63</v>
      </c>
      <c r="U69" t="s">
        <v>63</v>
      </c>
      <c r="V69" t="s">
        <v>64</v>
      </c>
      <c r="X69">
        <v>12</v>
      </c>
      <c r="Y69">
        <v>40934.300000000003</v>
      </c>
      <c r="Z69">
        <f>Y69*X69</f>
        <v>491211.60000000003</v>
      </c>
      <c r="AE69">
        <v>8</v>
      </c>
      <c r="AJ69" t="s">
        <v>65</v>
      </c>
      <c r="AM69" t="s">
        <v>66</v>
      </c>
      <c r="AN69" t="s">
        <v>136</v>
      </c>
      <c r="AQ69" t="s">
        <v>88</v>
      </c>
      <c r="AT69">
        <v>17.88</v>
      </c>
      <c r="AV69">
        <v>60</v>
      </c>
    </row>
    <row r="70" spans="1:48" x14ac:dyDescent="0.25">
      <c r="A70" t="s">
        <v>54</v>
      </c>
      <c r="B70" t="s">
        <v>55</v>
      </c>
      <c r="C70" t="s">
        <v>56</v>
      </c>
      <c r="D70" t="s">
        <v>57</v>
      </c>
      <c r="E70" t="s">
        <v>58</v>
      </c>
      <c r="G70" t="s">
        <v>59</v>
      </c>
      <c r="L70" t="s">
        <v>139</v>
      </c>
      <c r="Q70" t="s">
        <v>95</v>
      </c>
      <c r="S70" t="s">
        <v>96</v>
      </c>
      <c r="T70" t="s">
        <v>63</v>
      </c>
      <c r="U70" t="s">
        <v>63</v>
      </c>
      <c r="V70" t="s">
        <v>64</v>
      </c>
      <c r="X70">
        <v>12</v>
      </c>
      <c r="Y70" s="47">
        <v>64434</v>
      </c>
      <c r="Z70">
        <f>Y70*X70</f>
        <v>773208</v>
      </c>
      <c r="AE70">
        <v>8</v>
      </c>
      <c r="AJ70" t="s">
        <v>65</v>
      </c>
      <c r="AM70" t="s">
        <v>66</v>
      </c>
      <c r="AN70" t="s">
        <v>136</v>
      </c>
      <c r="AO70" t="s">
        <v>71</v>
      </c>
      <c r="AQ70" t="s">
        <v>77</v>
      </c>
      <c r="AT70">
        <v>27.6</v>
      </c>
      <c r="AV70">
        <v>60</v>
      </c>
    </row>
    <row r="71" spans="1:48" x14ac:dyDescent="0.25">
      <c r="A71" t="s">
        <v>54</v>
      </c>
      <c r="B71" t="s">
        <v>55</v>
      </c>
      <c r="C71" t="s">
        <v>56</v>
      </c>
      <c r="D71" t="s">
        <v>57</v>
      </c>
      <c r="E71" t="s">
        <v>58</v>
      </c>
      <c r="G71" t="s">
        <v>59</v>
      </c>
      <c r="L71" t="s">
        <v>61</v>
      </c>
      <c r="Q71" t="s">
        <v>78</v>
      </c>
      <c r="S71" t="s">
        <v>79</v>
      </c>
      <c r="T71" t="s">
        <v>63</v>
      </c>
      <c r="U71" t="s">
        <v>62</v>
      </c>
      <c r="V71" t="s">
        <v>64</v>
      </c>
      <c r="X71">
        <v>12</v>
      </c>
      <c r="Y71">
        <v>0</v>
      </c>
      <c r="Z71">
        <v>0</v>
      </c>
      <c r="AE71">
        <v>8</v>
      </c>
      <c r="AJ71" t="s">
        <v>65</v>
      </c>
      <c r="AM71" t="s">
        <v>66</v>
      </c>
      <c r="AN71" t="s">
        <v>136</v>
      </c>
      <c r="AT71">
        <v>11.4</v>
      </c>
      <c r="AV71">
        <v>60</v>
      </c>
    </row>
    <row r="72" spans="1:48" x14ac:dyDescent="0.25">
      <c r="A72" t="s">
        <v>54</v>
      </c>
      <c r="B72" t="s">
        <v>55</v>
      </c>
      <c r="C72" t="s">
        <v>56</v>
      </c>
      <c r="D72" t="s">
        <v>57</v>
      </c>
      <c r="E72" t="s">
        <v>58</v>
      </c>
      <c r="G72" t="s">
        <v>59</v>
      </c>
      <c r="L72" t="s">
        <v>61</v>
      </c>
      <c r="Q72" t="s">
        <v>103</v>
      </c>
      <c r="S72" t="s">
        <v>104</v>
      </c>
      <c r="T72" t="s">
        <v>63</v>
      </c>
      <c r="U72" t="s">
        <v>63</v>
      </c>
      <c r="V72" t="s">
        <v>64</v>
      </c>
      <c r="X72">
        <v>24</v>
      </c>
      <c r="Y72" s="47">
        <v>41965</v>
      </c>
      <c r="Z72">
        <f>Y72*X72</f>
        <v>1007160</v>
      </c>
      <c r="AE72">
        <v>8</v>
      </c>
      <c r="AJ72" t="s">
        <v>65</v>
      </c>
      <c r="AM72" t="s">
        <v>66</v>
      </c>
      <c r="AN72" t="s">
        <v>136</v>
      </c>
      <c r="AQ72" t="s">
        <v>101</v>
      </c>
      <c r="AT72">
        <v>10.08</v>
      </c>
      <c r="AV72">
        <v>60</v>
      </c>
    </row>
    <row r="73" spans="1:48" x14ac:dyDescent="0.25">
      <c r="A73" t="s">
        <v>54</v>
      </c>
      <c r="B73" t="s">
        <v>55</v>
      </c>
      <c r="C73" t="s">
        <v>56</v>
      </c>
      <c r="D73" t="s">
        <v>57</v>
      </c>
      <c r="E73" t="s">
        <v>58</v>
      </c>
      <c r="G73" t="s">
        <v>59</v>
      </c>
      <c r="L73" t="s">
        <v>61</v>
      </c>
      <c r="Q73" t="s">
        <v>106</v>
      </c>
      <c r="S73" t="s">
        <v>107</v>
      </c>
      <c r="T73" t="s">
        <v>63</v>
      </c>
      <c r="U73" t="s">
        <v>63</v>
      </c>
      <c r="V73" t="s">
        <v>64</v>
      </c>
      <c r="X73">
        <v>24</v>
      </c>
      <c r="Y73" s="47">
        <v>41965</v>
      </c>
      <c r="Z73">
        <f>Y73*X73</f>
        <v>1007160</v>
      </c>
      <c r="AE73">
        <v>8</v>
      </c>
      <c r="AJ73" t="s">
        <v>65</v>
      </c>
      <c r="AM73" t="s">
        <v>66</v>
      </c>
      <c r="AN73" t="s">
        <v>136</v>
      </c>
      <c r="AQ73" t="s">
        <v>101</v>
      </c>
      <c r="AT73">
        <v>10.08</v>
      </c>
      <c r="AV73">
        <v>60</v>
      </c>
    </row>
    <row r="74" spans="1:48" x14ac:dyDescent="0.25">
      <c r="A74" t="s">
        <v>54</v>
      </c>
      <c r="B74" t="s">
        <v>55</v>
      </c>
      <c r="C74" t="s">
        <v>56</v>
      </c>
      <c r="D74" t="s">
        <v>57</v>
      </c>
      <c r="E74" t="s">
        <v>58</v>
      </c>
      <c r="G74" t="s">
        <v>59</v>
      </c>
      <c r="L74" t="s">
        <v>140</v>
      </c>
      <c r="Q74" t="s">
        <v>80</v>
      </c>
      <c r="S74" t="s">
        <v>81</v>
      </c>
      <c r="T74" t="s">
        <v>63</v>
      </c>
      <c r="U74" t="s">
        <v>63</v>
      </c>
      <c r="V74" t="s">
        <v>64</v>
      </c>
      <c r="X74">
        <v>40</v>
      </c>
      <c r="Y74">
        <v>80165</v>
      </c>
      <c r="Z74">
        <f>Y74*X74</f>
        <v>3206600</v>
      </c>
      <c r="AE74">
        <v>8</v>
      </c>
      <c r="AJ74" t="s">
        <v>65</v>
      </c>
      <c r="AM74" t="s">
        <v>66</v>
      </c>
      <c r="AN74" t="s">
        <v>141</v>
      </c>
      <c r="AO74" t="s">
        <v>71</v>
      </c>
      <c r="AQ74" t="s">
        <v>72</v>
      </c>
      <c r="AT74">
        <v>139</v>
      </c>
      <c r="AV74">
        <v>60</v>
      </c>
    </row>
    <row r="75" spans="1:48" x14ac:dyDescent="0.25">
      <c r="A75" t="s">
        <v>54</v>
      </c>
      <c r="B75" t="s">
        <v>55</v>
      </c>
      <c r="C75" t="s">
        <v>56</v>
      </c>
      <c r="D75" t="s">
        <v>57</v>
      </c>
      <c r="E75" t="s">
        <v>58</v>
      </c>
      <c r="G75" t="s">
        <v>59</v>
      </c>
      <c r="L75" t="s">
        <v>61</v>
      </c>
      <c r="Q75" t="s">
        <v>80</v>
      </c>
      <c r="S75" t="s">
        <v>81</v>
      </c>
      <c r="T75" t="s">
        <v>63</v>
      </c>
      <c r="U75" t="s">
        <v>62</v>
      </c>
      <c r="V75" t="s">
        <v>64</v>
      </c>
      <c r="X75">
        <v>40</v>
      </c>
      <c r="Y75">
        <v>0</v>
      </c>
      <c r="Z75">
        <v>0</v>
      </c>
      <c r="AE75">
        <v>8</v>
      </c>
      <c r="AJ75" t="s">
        <v>65</v>
      </c>
      <c r="AM75" t="s">
        <v>66</v>
      </c>
      <c r="AN75" t="s">
        <v>141</v>
      </c>
      <c r="AT75">
        <v>139</v>
      </c>
      <c r="AV75">
        <v>60</v>
      </c>
    </row>
    <row r="76" spans="1:48" x14ac:dyDescent="0.25">
      <c r="A76" t="s">
        <v>54</v>
      </c>
      <c r="B76" t="s">
        <v>55</v>
      </c>
      <c r="C76" t="s">
        <v>56</v>
      </c>
      <c r="D76" t="s">
        <v>57</v>
      </c>
      <c r="E76" t="s">
        <v>58</v>
      </c>
      <c r="G76" t="s">
        <v>59</v>
      </c>
      <c r="L76" t="s">
        <v>61</v>
      </c>
      <c r="Q76" t="s">
        <v>82</v>
      </c>
      <c r="S76" t="s">
        <v>83</v>
      </c>
      <c r="T76" t="s">
        <v>63</v>
      </c>
      <c r="U76" t="s">
        <v>63</v>
      </c>
      <c r="V76" t="s">
        <v>64</v>
      </c>
      <c r="X76">
        <v>40</v>
      </c>
      <c r="Y76">
        <v>80165</v>
      </c>
      <c r="Z76">
        <f>Y76*X76</f>
        <v>3206600</v>
      </c>
      <c r="AE76">
        <v>8</v>
      </c>
      <c r="AJ76" t="s">
        <v>65</v>
      </c>
      <c r="AM76" t="s">
        <v>66</v>
      </c>
      <c r="AN76" t="s">
        <v>141</v>
      </c>
      <c r="AO76" t="s">
        <v>71</v>
      </c>
      <c r="AQ76" t="s">
        <v>72</v>
      </c>
      <c r="AT76">
        <v>139</v>
      </c>
      <c r="AV76">
        <v>60</v>
      </c>
    </row>
    <row r="77" spans="1:48" x14ac:dyDescent="0.25">
      <c r="A77" t="s">
        <v>54</v>
      </c>
      <c r="B77" t="s">
        <v>55</v>
      </c>
      <c r="C77" t="s">
        <v>56</v>
      </c>
      <c r="D77" t="s">
        <v>57</v>
      </c>
      <c r="E77" t="s">
        <v>58</v>
      </c>
      <c r="G77" t="s">
        <v>59</v>
      </c>
      <c r="L77" t="s">
        <v>61</v>
      </c>
      <c r="Q77" t="s">
        <v>82</v>
      </c>
      <c r="S77" t="s">
        <v>83</v>
      </c>
      <c r="T77" t="s">
        <v>63</v>
      </c>
      <c r="U77" t="s">
        <v>62</v>
      </c>
      <c r="V77" t="s">
        <v>64</v>
      </c>
      <c r="X77">
        <v>40</v>
      </c>
      <c r="Y77">
        <v>0</v>
      </c>
      <c r="Z77">
        <v>0</v>
      </c>
      <c r="AE77">
        <v>8</v>
      </c>
      <c r="AJ77" t="s">
        <v>65</v>
      </c>
      <c r="AM77" t="s">
        <v>66</v>
      </c>
      <c r="AN77" t="s">
        <v>141</v>
      </c>
      <c r="AT77">
        <v>139</v>
      </c>
      <c r="AV77">
        <v>60</v>
      </c>
    </row>
    <row r="78" spans="1:48" x14ac:dyDescent="0.25">
      <c r="A78" t="s">
        <v>54</v>
      </c>
      <c r="B78" t="s">
        <v>55</v>
      </c>
      <c r="C78" t="s">
        <v>56</v>
      </c>
      <c r="D78" t="s">
        <v>57</v>
      </c>
      <c r="E78" t="s">
        <v>58</v>
      </c>
      <c r="G78" t="s">
        <v>59</v>
      </c>
      <c r="L78" t="s">
        <v>61</v>
      </c>
      <c r="Q78" t="s">
        <v>106</v>
      </c>
      <c r="S78" t="s">
        <v>107</v>
      </c>
      <c r="T78" t="s">
        <v>63</v>
      </c>
      <c r="U78" t="s">
        <v>63</v>
      </c>
      <c r="V78" t="s">
        <v>64</v>
      </c>
      <c r="X78">
        <v>24</v>
      </c>
      <c r="Y78" s="47">
        <v>41965</v>
      </c>
      <c r="Z78">
        <f>Y78*X78</f>
        <v>1007160</v>
      </c>
      <c r="AE78">
        <v>8</v>
      </c>
      <c r="AJ78" t="s">
        <v>65</v>
      </c>
      <c r="AM78" t="s">
        <v>66</v>
      </c>
      <c r="AN78" t="s">
        <v>141</v>
      </c>
      <c r="AQ78" t="s">
        <v>101</v>
      </c>
      <c r="AT78">
        <v>10.08</v>
      </c>
      <c r="AV78">
        <v>60</v>
      </c>
    </row>
    <row r="79" spans="1:48" x14ac:dyDescent="0.25">
      <c r="A79" t="s">
        <v>54</v>
      </c>
      <c r="B79" t="s">
        <v>55</v>
      </c>
      <c r="C79" t="s">
        <v>56</v>
      </c>
      <c r="D79" t="s">
        <v>57</v>
      </c>
      <c r="E79" t="s">
        <v>58</v>
      </c>
      <c r="G79" t="s">
        <v>59</v>
      </c>
      <c r="L79" t="s">
        <v>142</v>
      </c>
      <c r="Q79" t="s">
        <v>68</v>
      </c>
      <c r="S79" t="s">
        <v>69</v>
      </c>
      <c r="T79" t="s">
        <v>63</v>
      </c>
      <c r="U79" t="s">
        <v>63</v>
      </c>
      <c r="V79" t="s">
        <v>64</v>
      </c>
      <c r="X79">
        <v>8</v>
      </c>
      <c r="Y79">
        <v>162138</v>
      </c>
      <c r="Z79">
        <f>Y79*X79</f>
        <v>1297104</v>
      </c>
      <c r="AE79">
        <v>8</v>
      </c>
      <c r="AJ79" t="s">
        <v>65</v>
      </c>
      <c r="AM79" t="s">
        <v>66</v>
      </c>
      <c r="AN79" t="s">
        <v>143</v>
      </c>
      <c r="AO79" t="s">
        <v>71</v>
      </c>
      <c r="AQ79" t="s">
        <v>72</v>
      </c>
      <c r="AT79">
        <v>30.4</v>
      </c>
      <c r="AV79">
        <v>60</v>
      </c>
    </row>
    <row r="80" spans="1:48" x14ac:dyDescent="0.25">
      <c r="A80" t="s">
        <v>54</v>
      </c>
      <c r="B80" t="s">
        <v>55</v>
      </c>
      <c r="C80" t="s">
        <v>56</v>
      </c>
      <c r="D80" t="s">
        <v>57</v>
      </c>
      <c r="E80" t="s">
        <v>58</v>
      </c>
      <c r="G80" t="s">
        <v>59</v>
      </c>
      <c r="L80" t="s">
        <v>61</v>
      </c>
      <c r="Q80" t="s">
        <v>68</v>
      </c>
      <c r="S80" t="s">
        <v>69</v>
      </c>
      <c r="T80" t="s">
        <v>63</v>
      </c>
      <c r="U80" t="s">
        <v>62</v>
      </c>
      <c r="V80" t="s">
        <v>64</v>
      </c>
      <c r="X80">
        <v>8</v>
      </c>
      <c r="Y80">
        <v>0</v>
      </c>
      <c r="Z80">
        <v>0</v>
      </c>
      <c r="AE80">
        <v>8</v>
      </c>
      <c r="AJ80" t="s">
        <v>65</v>
      </c>
      <c r="AM80" t="s">
        <v>66</v>
      </c>
      <c r="AN80" t="s">
        <v>143</v>
      </c>
      <c r="AT80">
        <v>30.4</v>
      </c>
      <c r="AV80">
        <v>60</v>
      </c>
    </row>
    <row r="81" spans="1:48" x14ac:dyDescent="0.25">
      <c r="A81" t="s">
        <v>54</v>
      </c>
      <c r="B81" t="s">
        <v>55</v>
      </c>
      <c r="C81" t="s">
        <v>56</v>
      </c>
      <c r="D81" t="s">
        <v>57</v>
      </c>
      <c r="E81" t="s">
        <v>58</v>
      </c>
      <c r="G81" t="s">
        <v>59</v>
      </c>
      <c r="L81" t="s">
        <v>61</v>
      </c>
      <c r="Q81" t="s">
        <v>111</v>
      </c>
      <c r="S81" t="s">
        <v>112</v>
      </c>
      <c r="T81" t="s">
        <v>63</v>
      </c>
      <c r="U81" t="s">
        <v>63</v>
      </c>
      <c r="V81" t="s">
        <v>64</v>
      </c>
      <c r="X81">
        <v>12</v>
      </c>
      <c r="Y81">
        <v>40934.300000000003</v>
      </c>
      <c r="Z81">
        <f>Y81*X81</f>
        <v>491211.60000000003</v>
      </c>
      <c r="AE81">
        <v>8</v>
      </c>
      <c r="AJ81" t="s">
        <v>65</v>
      </c>
      <c r="AM81" t="s">
        <v>66</v>
      </c>
      <c r="AN81" t="s">
        <v>143</v>
      </c>
      <c r="AQ81" t="s">
        <v>88</v>
      </c>
      <c r="AT81">
        <v>17.88</v>
      </c>
      <c r="AV81">
        <v>60</v>
      </c>
    </row>
    <row r="82" spans="1:48" x14ac:dyDescent="0.25">
      <c r="A82" t="s">
        <v>54</v>
      </c>
      <c r="B82" t="s">
        <v>55</v>
      </c>
      <c r="C82" t="s">
        <v>56</v>
      </c>
      <c r="D82" t="s">
        <v>57</v>
      </c>
      <c r="E82" t="s">
        <v>58</v>
      </c>
      <c r="G82" t="s">
        <v>59</v>
      </c>
      <c r="L82" t="s">
        <v>61</v>
      </c>
      <c r="Q82" t="s">
        <v>95</v>
      </c>
      <c r="S82" t="s">
        <v>96</v>
      </c>
      <c r="T82" t="s">
        <v>63</v>
      </c>
      <c r="U82" t="s">
        <v>63</v>
      </c>
      <c r="V82" t="s">
        <v>64</v>
      </c>
      <c r="X82">
        <v>6</v>
      </c>
      <c r="Y82" s="47">
        <v>64434</v>
      </c>
      <c r="Z82">
        <f>Y82*X82</f>
        <v>386604</v>
      </c>
      <c r="AE82">
        <v>8</v>
      </c>
      <c r="AJ82" t="s">
        <v>65</v>
      </c>
      <c r="AM82" t="s">
        <v>66</v>
      </c>
      <c r="AN82" t="s">
        <v>143</v>
      </c>
      <c r="AO82" t="s">
        <v>71</v>
      </c>
      <c r="AQ82" t="s">
        <v>77</v>
      </c>
      <c r="AT82">
        <v>13.8</v>
      </c>
      <c r="AV82">
        <v>60</v>
      </c>
    </row>
    <row r="83" spans="1:48" x14ac:dyDescent="0.25">
      <c r="A83" t="s">
        <v>54</v>
      </c>
      <c r="B83" t="s">
        <v>55</v>
      </c>
      <c r="C83" t="s">
        <v>56</v>
      </c>
      <c r="D83" t="s">
        <v>57</v>
      </c>
      <c r="E83" t="s">
        <v>58</v>
      </c>
      <c r="G83" t="s">
        <v>59</v>
      </c>
      <c r="L83" t="s">
        <v>61</v>
      </c>
      <c r="Q83" t="s">
        <v>78</v>
      </c>
      <c r="S83" t="s">
        <v>79</v>
      </c>
      <c r="T83" t="s">
        <v>63</v>
      </c>
      <c r="U83" t="s">
        <v>62</v>
      </c>
      <c r="V83" t="s">
        <v>64</v>
      </c>
      <c r="X83">
        <v>6</v>
      </c>
      <c r="Y83">
        <v>0</v>
      </c>
      <c r="Z83">
        <v>0</v>
      </c>
      <c r="AE83">
        <v>8</v>
      </c>
      <c r="AJ83" t="s">
        <v>65</v>
      </c>
      <c r="AM83" t="s">
        <v>66</v>
      </c>
      <c r="AN83" t="s">
        <v>143</v>
      </c>
      <c r="AT83">
        <v>5.6999999999999993</v>
      </c>
      <c r="AV83">
        <v>60</v>
      </c>
    </row>
    <row r="84" spans="1:48" x14ac:dyDescent="0.25">
      <c r="A84" t="s">
        <v>54</v>
      </c>
      <c r="B84" t="s">
        <v>55</v>
      </c>
      <c r="C84" t="s">
        <v>56</v>
      </c>
      <c r="D84" t="s">
        <v>57</v>
      </c>
      <c r="E84" t="s">
        <v>58</v>
      </c>
      <c r="G84" t="s">
        <v>59</v>
      </c>
      <c r="L84" t="s">
        <v>61</v>
      </c>
      <c r="Q84" t="s">
        <v>80</v>
      </c>
      <c r="S84" t="s">
        <v>81</v>
      </c>
      <c r="T84" t="s">
        <v>63</v>
      </c>
      <c r="U84" t="s">
        <v>63</v>
      </c>
      <c r="V84" t="s">
        <v>64</v>
      </c>
      <c r="X84">
        <v>20</v>
      </c>
      <c r="Y84">
        <v>80165</v>
      </c>
      <c r="Z84">
        <f>Y84*X84</f>
        <v>1603300</v>
      </c>
      <c r="AE84">
        <v>8</v>
      </c>
      <c r="AJ84" t="s">
        <v>65</v>
      </c>
      <c r="AM84" t="s">
        <v>66</v>
      </c>
      <c r="AN84" t="s">
        <v>143</v>
      </c>
      <c r="AO84" t="s">
        <v>71</v>
      </c>
      <c r="AQ84" t="s">
        <v>72</v>
      </c>
      <c r="AT84">
        <v>69.5</v>
      </c>
      <c r="AV84">
        <v>60</v>
      </c>
    </row>
    <row r="85" spans="1:48" x14ac:dyDescent="0.25">
      <c r="A85" t="s">
        <v>54</v>
      </c>
      <c r="B85" t="s">
        <v>55</v>
      </c>
      <c r="C85" t="s">
        <v>56</v>
      </c>
      <c r="D85" t="s">
        <v>57</v>
      </c>
      <c r="E85" t="s">
        <v>58</v>
      </c>
      <c r="G85" t="s">
        <v>59</v>
      </c>
      <c r="L85" t="s">
        <v>61</v>
      </c>
      <c r="Q85" t="s">
        <v>80</v>
      </c>
      <c r="S85" t="s">
        <v>81</v>
      </c>
      <c r="T85" t="s">
        <v>63</v>
      </c>
      <c r="U85" t="s">
        <v>62</v>
      </c>
      <c r="V85" t="s">
        <v>64</v>
      </c>
      <c r="X85">
        <v>20</v>
      </c>
      <c r="Y85">
        <v>0</v>
      </c>
      <c r="Z85">
        <v>0</v>
      </c>
      <c r="AE85">
        <v>8</v>
      </c>
      <c r="AJ85" t="s">
        <v>65</v>
      </c>
      <c r="AM85" t="s">
        <v>66</v>
      </c>
      <c r="AN85" t="s">
        <v>143</v>
      </c>
      <c r="AT85">
        <v>69.5</v>
      </c>
      <c r="AV85">
        <v>60</v>
      </c>
    </row>
    <row r="86" spans="1:48" x14ac:dyDescent="0.25">
      <c r="A86" t="s">
        <v>54</v>
      </c>
      <c r="B86" t="s">
        <v>55</v>
      </c>
      <c r="C86" t="s">
        <v>56</v>
      </c>
      <c r="D86" t="s">
        <v>57</v>
      </c>
      <c r="E86" t="s">
        <v>58</v>
      </c>
      <c r="G86" t="s">
        <v>59</v>
      </c>
      <c r="L86" t="s">
        <v>61</v>
      </c>
      <c r="Q86" t="s">
        <v>144</v>
      </c>
      <c r="S86" t="s">
        <v>145</v>
      </c>
      <c r="T86" t="s">
        <v>63</v>
      </c>
      <c r="U86" t="s">
        <v>63</v>
      </c>
      <c r="V86" t="s">
        <v>64</v>
      </c>
      <c r="X86">
        <v>12</v>
      </c>
      <c r="Y86" s="47">
        <v>53063</v>
      </c>
      <c r="Z86">
        <f>Y86*X86</f>
        <v>636756</v>
      </c>
      <c r="AE86">
        <v>8</v>
      </c>
      <c r="AJ86" t="s">
        <v>65</v>
      </c>
      <c r="AM86" t="s">
        <v>66</v>
      </c>
      <c r="AN86" t="s">
        <v>143</v>
      </c>
      <c r="AQ86" t="s">
        <v>146</v>
      </c>
      <c r="AT86">
        <v>14.4</v>
      </c>
      <c r="AV86">
        <v>60</v>
      </c>
    </row>
    <row r="87" spans="1:48" x14ac:dyDescent="0.25">
      <c r="A87" t="s">
        <v>54</v>
      </c>
      <c r="B87" t="s">
        <v>55</v>
      </c>
      <c r="C87" t="s">
        <v>56</v>
      </c>
      <c r="D87" t="s">
        <v>57</v>
      </c>
      <c r="E87" t="s">
        <v>58</v>
      </c>
      <c r="G87" t="s">
        <v>59</v>
      </c>
      <c r="L87" t="s">
        <v>61</v>
      </c>
      <c r="Q87" t="s">
        <v>106</v>
      </c>
      <c r="S87" t="s">
        <v>107</v>
      </c>
      <c r="T87" t="s">
        <v>63</v>
      </c>
      <c r="U87" t="s">
        <v>63</v>
      </c>
      <c r="V87" t="s">
        <v>64</v>
      </c>
      <c r="X87">
        <v>24</v>
      </c>
      <c r="Y87" s="47">
        <v>41965</v>
      </c>
      <c r="Z87">
        <f>Y87*X87</f>
        <v>1007160</v>
      </c>
      <c r="AE87">
        <v>8</v>
      </c>
      <c r="AJ87" t="s">
        <v>65</v>
      </c>
      <c r="AM87" t="s">
        <v>66</v>
      </c>
      <c r="AN87" t="s">
        <v>143</v>
      </c>
      <c r="AQ87" t="s">
        <v>101</v>
      </c>
      <c r="AT87">
        <v>10.08</v>
      </c>
      <c r="AV87">
        <v>60</v>
      </c>
    </row>
    <row r="88" spans="1:48" x14ac:dyDescent="0.25">
      <c r="A88" t="s">
        <v>54</v>
      </c>
      <c r="B88" t="s">
        <v>55</v>
      </c>
      <c r="C88" t="s">
        <v>56</v>
      </c>
      <c r="D88" t="s">
        <v>57</v>
      </c>
      <c r="E88" t="s">
        <v>58</v>
      </c>
      <c r="G88" t="s">
        <v>59</v>
      </c>
      <c r="L88" t="s">
        <v>61</v>
      </c>
      <c r="Q88" t="s">
        <v>98</v>
      </c>
      <c r="S88" t="s">
        <v>99</v>
      </c>
      <c r="T88" t="s">
        <v>63</v>
      </c>
      <c r="U88" t="s">
        <v>63</v>
      </c>
      <c r="V88" t="s">
        <v>64</v>
      </c>
      <c r="X88">
        <v>24</v>
      </c>
      <c r="Y88" s="47">
        <v>42535</v>
      </c>
      <c r="Z88">
        <f>Y88*X88</f>
        <v>1020840</v>
      </c>
      <c r="AE88">
        <v>8</v>
      </c>
      <c r="AJ88" t="s">
        <v>65</v>
      </c>
      <c r="AM88" t="s">
        <v>66</v>
      </c>
      <c r="AN88" t="s">
        <v>143</v>
      </c>
      <c r="AQ88" t="s">
        <v>101</v>
      </c>
      <c r="AT88">
        <v>10.08</v>
      </c>
      <c r="AV88">
        <v>60</v>
      </c>
    </row>
    <row r="89" spans="1:48" x14ac:dyDescent="0.25">
      <c r="A89" t="s">
        <v>54</v>
      </c>
      <c r="B89" t="s">
        <v>55</v>
      </c>
      <c r="C89" t="s">
        <v>56</v>
      </c>
      <c r="D89" t="s">
        <v>57</v>
      </c>
      <c r="E89" t="s">
        <v>58</v>
      </c>
      <c r="G89" t="s">
        <v>59</v>
      </c>
      <c r="L89" t="s">
        <v>61</v>
      </c>
      <c r="Q89" t="s">
        <v>147</v>
      </c>
      <c r="S89" t="s">
        <v>148</v>
      </c>
      <c r="T89" t="s">
        <v>63</v>
      </c>
      <c r="U89" t="s">
        <v>63</v>
      </c>
      <c r="V89" t="s">
        <v>64</v>
      </c>
      <c r="X89">
        <v>40</v>
      </c>
      <c r="Y89">
        <v>38182</v>
      </c>
      <c r="Z89">
        <f>Y89*X89</f>
        <v>1527280</v>
      </c>
      <c r="AE89">
        <v>8</v>
      </c>
      <c r="AJ89" t="s">
        <v>65</v>
      </c>
      <c r="AM89" t="s">
        <v>66</v>
      </c>
      <c r="AN89" t="s">
        <v>143</v>
      </c>
      <c r="AT89">
        <v>10</v>
      </c>
      <c r="AV89">
        <v>60</v>
      </c>
    </row>
    <row r="90" spans="1:48" x14ac:dyDescent="0.25">
      <c r="A90" t="s">
        <v>54</v>
      </c>
      <c r="B90" t="s">
        <v>55</v>
      </c>
      <c r="C90" t="s">
        <v>56</v>
      </c>
      <c r="D90" t="s">
        <v>57</v>
      </c>
      <c r="E90" t="s">
        <v>58</v>
      </c>
      <c r="G90" t="s">
        <v>59</v>
      </c>
      <c r="L90" t="s">
        <v>149</v>
      </c>
      <c r="Q90" t="s">
        <v>68</v>
      </c>
      <c r="S90" t="s">
        <v>69</v>
      </c>
      <c r="T90" t="s">
        <v>63</v>
      </c>
      <c r="U90" t="s">
        <v>63</v>
      </c>
      <c r="V90" t="s">
        <v>64</v>
      </c>
      <c r="X90">
        <v>8</v>
      </c>
      <c r="Y90">
        <v>162138</v>
      </c>
      <c r="Z90">
        <f>Y90*X90</f>
        <v>1297104</v>
      </c>
      <c r="AE90">
        <v>8</v>
      </c>
      <c r="AJ90" t="s">
        <v>65</v>
      </c>
      <c r="AM90" t="s">
        <v>66</v>
      </c>
      <c r="AN90" t="s">
        <v>150</v>
      </c>
      <c r="AO90" t="s">
        <v>71</v>
      </c>
      <c r="AQ90" t="s">
        <v>72</v>
      </c>
      <c r="AT90">
        <v>30.4</v>
      </c>
      <c r="AV90">
        <v>60</v>
      </c>
    </row>
    <row r="91" spans="1:48" x14ac:dyDescent="0.25">
      <c r="A91" t="s">
        <v>54</v>
      </c>
      <c r="B91" t="s">
        <v>55</v>
      </c>
      <c r="C91" t="s">
        <v>56</v>
      </c>
      <c r="D91" t="s">
        <v>57</v>
      </c>
      <c r="E91" t="s">
        <v>58</v>
      </c>
      <c r="G91" t="s">
        <v>59</v>
      </c>
      <c r="L91" t="s">
        <v>61</v>
      </c>
      <c r="Q91" t="s">
        <v>68</v>
      </c>
      <c r="S91" t="s">
        <v>69</v>
      </c>
      <c r="T91" t="s">
        <v>63</v>
      </c>
      <c r="U91" t="s">
        <v>62</v>
      </c>
      <c r="V91" t="s">
        <v>64</v>
      </c>
      <c r="X91">
        <v>8</v>
      </c>
      <c r="Y91">
        <v>0</v>
      </c>
      <c r="Z91">
        <v>0</v>
      </c>
      <c r="AE91">
        <v>8</v>
      </c>
      <c r="AJ91" t="s">
        <v>65</v>
      </c>
      <c r="AM91" t="s">
        <v>66</v>
      </c>
      <c r="AN91" t="s">
        <v>150</v>
      </c>
      <c r="AT91">
        <v>30.4</v>
      </c>
      <c r="AV91">
        <v>60</v>
      </c>
    </row>
    <row r="92" spans="1:48" x14ac:dyDescent="0.25">
      <c r="A92" t="s">
        <v>54</v>
      </c>
      <c r="B92" t="s">
        <v>55</v>
      </c>
      <c r="C92" t="s">
        <v>56</v>
      </c>
      <c r="D92" t="s">
        <v>57</v>
      </c>
      <c r="E92" t="s">
        <v>58</v>
      </c>
      <c r="G92" t="s">
        <v>59</v>
      </c>
      <c r="L92" t="s">
        <v>61</v>
      </c>
      <c r="Q92" t="s">
        <v>113</v>
      </c>
      <c r="S92" t="s">
        <v>114</v>
      </c>
      <c r="T92" t="s">
        <v>63</v>
      </c>
      <c r="U92" t="s">
        <v>63</v>
      </c>
      <c r="V92" t="s">
        <v>64</v>
      </c>
      <c r="X92">
        <v>40</v>
      </c>
      <c r="Y92" s="47">
        <v>40429</v>
      </c>
      <c r="Z92">
        <f>Y92*X92</f>
        <v>1617160</v>
      </c>
      <c r="AE92">
        <v>8</v>
      </c>
      <c r="AJ92" t="s">
        <v>65</v>
      </c>
      <c r="AM92" t="s">
        <v>66</v>
      </c>
      <c r="AN92" t="s">
        <v>150</v>
      </c>
      <c r="AQ92" t="s">
        <v>101</v>
      </c>
      <c r="AT92">
        <v>20</v>
      </c>
      <c r="AV92">
        <v>60</v>
      </c>
    </row>
    <row r="93" spans="1:48" x14ac:dyDescent="0.25">
      <c r="A93" t="s">
        <v>54</v>
      </c>
      <c r="B93" t="s">
        <v>55</v>
      </c>
      <c r="C93" t="s">
        <v>56</v>
      </c>
      <c r="D93" t="s">
        <v>57</v>
      </c>
      <c r="E93" t="s">
        <v>58</v>
      </c>
      <c r="G93" t="s">
        <v>59</v>
      </c>
      <c r="L93" t="s">
        <v>61</v>
      </c>
      <c r="Q93" t="s">
        <v>80</v>
      </c>
      <c r="S93" t="s">
        <v>81</v>
      </c>
      <c r="T93" t="s">
        <v>63</v>
      </c>
      <c r="U93" t="s">
        <v>63</v>
      </c>
      <c r="V93" t="s">
        <v>64</v>
      </c>
      <c r="X93">
        <v>40</v>
      </c>
      <c r="Y93">
        <v>80165</v>
      </c>
      <c r="Z93">
        <f>Y93*X93</f>
        <v>3206600</v>
      </c>
      <c r="AE93">
        <v>8</v>
      </c>
      <c r="AJ93" t="s">
        <v>65</v>
      </c>
      <c r="AM93" t="s">
        <v>66</v>
      </c>
      <c r="AN93" t="s">
        <v>150</v>
      </c>
      <c r="AO93" t="s">
        <v>71</v>
      </c>
      <c r="AQ93" t="s">
        <v>72</v>
      </c>
      <c r="AT93">
        <v>139</v>
      </c>
      <c r="AV93">
        <v>60</v>
      </c>
    </row>
    <row r="94" spans="1:48" x14ac:dyDescent="0.25">
      <c r="A94" t="s">
        <v>54</v>
      </c>
      <c r="B94" t="s">
        <v>55</v>
      </c>
      <c r="C94" t="s">
        <v>56</v>
      </c>
      <c r="D94" t="s">
        <v>57</v>
      </c>
      <c r="E94" t="s">
        <v>58</v>
      </c>
      <c r="G94" t="s">
        <v>59</v>
      </c>
      <c r="L94" t="s">
        <v>61</v>
      </c>
      <c r="Q94" t="s">
        <v>80</v>
      </c>
      <c r="S94" t="s">
        <v>81</v>
      </c>
      <c r="T94" t="s">
        <v>63</v>
      </c>
      <c r="U94" t="s">
        <v>62</v>
      </c>
      <c r="V94" t="s">
        <v>64</v>
      </c>
      <c r="X94">
        <v>40</v>
      </c>
      <c r="Y94">
        <v>0</v>
      </c>
      <c r="Z94">
        <v>0</v>
      </c>
      <c r="AE94">
        <v>8</v>
      </c>
      <c r="AJ94" t="s">
        <v>65</v>
      </c>
      <c r="AM94" t="s">
        <v>66</v>
      </c>
      <c r="AN94" t="s">
        <v>150</v>
      </c>
      <c r="AT94">
        <v>139</v>
      </c>
      <c r="AV94">
        <v>60</v>
      </c>
    </row>
    <row r="95" spans="1:48" x14ac:dyDescent="0.25">
      <c r="A95" t="s">
        <v>54</v>
      </c>
      <c r="B95" t="s">
        <v>55</v>
      </c>
      <c r="C95" t="s">
        <v>56</v>
      </c>
      <c r="D95" t="s">
        <v>57</v>
      </c>
      <c r="E95" t="s">
        <v>58</v>
      </c>
      <c r="G95" t="s">
        <v>59</v>
      </c>
      <c r="L95" t="s">
        <v>151</v>
      </c>
      <c r="Q95" t="s">
        <v>68</v>
      </c>
      <c r="S95" t="s">
        <v>69</v>
      </c>
      <c r="T95" t="s">
        <v>63</v>
      </c>
      <c r="U95" t="s">
        <v>63</v>
      </c>
      <c r="V95" t="s">
        <v>64</v>
      </c>
      <c r="X95">
        <v>40</v>
      </c>
      <c r="Y95">
        <v>162138</v>
      </c>
      <c r="Z95">
        <f>Y95*X95</f>
        <v>6485520</v>
      </c>
      <c r="AE95">
        <v>8</v>
      </c>
      <c r="AJ95" t="s">
        <v>65</v>
      </c>
      <c r="AM95" t="s">
        <v>66</v>
      </c>
      <c r="AN95" t="s">
        <v>152</v>
      </c>
      <c r="AO95" t="s">
        <v>71</v>
      </c>
      <c r="AQ95" t="s">
        <v>72</v>
      </c>
      <c r="AT95">
        <v>152</v>
      </c>
      <c r="AV95">
        <v>60</v>
      </c>
    </row>
    <row r="96" spans="1:48" x14ac:dyDescent="0.25">
      <c r="A96" t="s">
        <v>54</v>
      </c>
      <c r="B96" t="s">
        <v>55</v>
      </c>
      <c r="C96" t="s">
        <v>56</v>
      </c>
      <c r="D96" t="s">
        <v>57</v>
      </c>
      <c r="E96" t="s">
        <v>58</v>
      </c>
      <c r="G96" t="s">
        <v>59</v>
      </c>
      <c r="L96" t="s">
        <v>61</v>
      </c>
      <c r="Q96" t="s">
        <v>68</v>
      </c>
      <c r="S96" t="s">
        <v>69</v>
      </c>
      <c r="T96" t="s">
        <v>63</v>
      </c>
      <c r="U96" t="s">
        <v>62</v>
      </c>
      <c r="V96" t="s">
        <v>64</v>
      </c>
      <c r="X96">
        <v>40</v>
      </c>
      <c r="Y96">
        <v>0</v>
      </c>
      <c r="Z96">
        <v>0</v>
      </c>
      <c r="AE96">
        <v>8</v>
      </c>
      <c r="AJ96" t="s">
        <v>65</v>
      </c>
      <c r="AM96" t="s">
        <v>66</v>
      </c>
      <c r="AN96" t="s">
        <v>152</v>
      </c>
      <c r="AT96">
        <v>152</v>
      </c>
      <c r="AV96">
        <v>60</v>
      </c>
    </row>
    <row r="97" spans="1:48" x14ac:dyDescent="0.25">
      <c r="A97" t="s">
        <v>54</v>
      </c>
      <c r="B97" t="s">
        <v>55</v>
      </c>
      <c r="C97" t="s">
        <v>56</v>
      </c>
      <c r="D97" t="s">
        <v>57</v>
      </c>
      <c r="E97" t="s">
        <v>58</v>
      </c>
      <c r="G97" t="s">
        <v>59</v>
      </c>
      <c r="L97" t="s">
        <v>61</v>
      </c>
      <c r="Q97" t="s">
        <v>85</v>
      </c>
      <c r="S97" t="s">
        <v>86</v>
      </c>
      <c r="T97" t="s">
        <v>63</v>
      </c>
      <c r="U97" t="s">
        <v>63</v>
      </c>
      <c r="V97" t="s">
        <v>64</v>
      </c>
      <c r="X97">
        <v>12</v>
      </c>
      <c r="Y97">
        <v>40934.300000000003</v>
      </c>
      <c r="Z97">
        <f>Y97*X97</f>
        <v>491211.60000000003</v>
      </c>
      <c r="AE97">
        <v>8</v>
      </c>
      <c r="AJ97" t="s">
        <v>65</v>
      </c>
      <c r="AM97" t="s">
        <v>66</v>
      </c>
      <c r="AN97" t="s">
        <v>152</v>
      </c>
      <c r="AQ97" t="s">
        <v>88</v>
      </c>
      <c r="AT97">
        <v>17.88</v>
      </c>
      <c r="AV97">
        <v>60</v>
      </c>
    </row>
    <row r="98" spans="1:48" x14ac:dyDescent="0.25">
      <c r="A98" t="s">
        <v>54</v>
      </c>
      <c r="B98" t="s">
        <v>55</v>
      </c>
      <c r="C98" t="s">
        <v>56</v>
      </c>
      <c r="D98" t="s">
        <v>57</v>
      </c>
      <c r="E98" t="s">
        <v>58</v>
      </c>
      <c r="G98" t="s">
        <v>59</v>
      </c>
      <c r="L98" t="s">
        <v>61</v>
      </c>
      <c r="Q98" t="s">
        <v>111</v>
      </c>
      <c r="S98" t="s">
        <v>112</v>
      </c>
      <c r="T98" t="s">
        <v>63</v>
      </c>
      <c r="U98" t="s">
        <v>63</v>
      </c>
      <c r="V98" t="s">
        <v>64</v>
      </c>
      <c r="X98">
        <v>12</v>
      </c>
      <c r="Y98">
        <v>40934.300000000003</v>
      </c>
      <c r="Z98">
        <f>Y98*X98</f>
        <v>491211.60000000003</v>
      </c>
      <c r="AE98">
        <v>8</v>
      </c>
      <c r="AJ98" t="s">
        <v>65</v>
      </c>
      <c r="AM98" t="s">
        <v>66</v>
      </c>
      <c r="AN98" t="s">
        <v>152</v>
      </c>
      <c r="AQ98" t="s">
        <v>88</v>
      </c>
      <c r="AT98">
        <v>17.88</v>
      </c>
      <c r="AV98">
        <v>60</v>
      </c>
    </row>
    <row r="99" spans="1:48" x14ac:dyDescent="0.25">
      <c r="A99" t="s">
        <v>54</v>
      </c>
      <c r="B99" t="s">
        <v>55</v>
      </c>
      <c r="C99" t="s">
        <v>56</v>
      </c>
      <c r="D99" t="s">
        <v>57</v>
      </c>
      <c r="E99" t="s">
        <v>58</v>
      </c>
      <c r="G99" t="s">
        <v>59</v>
      </c>
      <c r="L99" t="s">
        <v>61</v>
      </c>
      <c r="Q99" t="s">
        <v>113</v>
      </c>
      <c r="S99" t="s">
        <v>114</v>
      </c>
      <c r="T99" t="s">
        <v>63</v>
      </c>
      <c r="U99" t="s">
        <v>63</v>
      </c>
      <c r="V99" t="s">
        <v>64</v>
      </c>
      <c r="X99">
        <v>20</v>
      </c>
      <c r="Y99" s="47">
        <v>40429</v>
      </c>
      <c r="Z99">
        <f>Y99*X99</f>
        <v>808580</v>
      </c>
      <c r="AE99">
        <v>8</v>
      </c>
      <c r="AJ99" t="s">
        <v>65</v>
      </c>
      <c r="AM99" t="s">
        <v>66</v>
      </c>
      <c r="AN99" t="s">
        <v>152</v>
      </c>
      <c r="AQ99" t="s">
        <v>101</v>
      </c>
      <c r="AT99">
        <v>10</v>
      </c>
      <c r="AV99">
        <v>60</v>
      </c>
    </row>
    <row r="100" spans="1:48" x14ac:dyDescent="0.25">
      <c r="A100" t="s">
        <v>54</v>
      </c>
      <c r="B100" t="s">
        <v>55</v>
      </c>
      <c r="C100" t="s">
        <v>56</v>
      </c>
      <c r="D100" t="s">
        <v>57</v>
      </c>
      <c r="E100" t="s">
        <v>58</v>
      </c>
      <c r="G100" t="s">
        <v>59</v>
      </c>
      <c r="L100" t="s">
        <v>61</v>
      </c>
      <c r="Q100" t="s">
        <v>80</v>
      </c>
      <c r="S100" t="s">
        <v>81</v>
      </c>
      <c r="T100" t="s">
        <v>63</v>
      </c>
      <c r="U100" t="s">
        <v>63</v>
      </c>
      <c r="V100" t="s">
        <v>64</v>
      </c>
      <c r="X100">
        <v>120</v>
      </c>
      <c r="Y100">
        <v>80165</v>
      </c>
      <c r="Z100">
        <f>Y100*X100</f>
        <v>9619800</v>
      </c>
      <c r="AE100">
        <v>8</v>
      </c>
      <c r="AJ100" t="s">
        <v>65</v>
      </c>
      <c r="AM100" t="s">
        <v>66</v>
      </c>
      <c r="AN100" t="s">
        <v>152</v>
      </c>
      <c r="AO100" t="s">
        <v>71</v>
      </c>
      <c r="AQ100" t="s">
        <v>72</v>
      </c>
      <c r="AT100">
        <v>417</v>
      </c>
      <c r="AV100">
        <v>60</v>
      </c>
    </row>
    <row r="101" spans="1:48" x14ac:dyDescent="0.25">
      <c r="A101" t="s">
        <v>54</v>
      </c>
      <c r="B101" t="s">
        <v>55</v>
      </c>
      <c r="C101" t="s">
        <v>56</v>
      </c>
      <c r="D101" t="s">
        <v>57</v>
      </c>
      <c r="E101" t="s">
        <v>58</v>
      </c>
      <c r="G101" t="s">
        <v>59</v>
      </c>
      <c r="L101" t="s">
        <v>61</v>
      </c>
      <c r="Q101" t="s">
        <v>80</v>
      </c>
      <c r="S101" t="s">
        <v>81</v>
      </c>
      <c r="T101" t="s">
        <v>63</v>
      </c>
      <c r="U101" t="s">
        <v>62</v>
      </c>
      <c r="V101" t="s">
        <v>64</v>
      </c>
      <c r="X101">
        <v>120</v>
      </c>
      <c r="Y101">
        <v>0</v>
      </c>
      <c r="Z101">
        <v>0</v>
      </c>
      <c r="AE101">
        <v>8</v>
      </c>
      <c r="AJ101" t="s">
        <v>65</v>
      </c>
      <c r="AM101" t="s">
        <v>66</v>
      </c>
      <c r="AN101" t="s">
        <v>152</v>
      </c>
      <c r="AT101">
        <v>417</v>
      </c>
      <c r="AV101">
        <v>60</v>
      </c>
    </row>
    <row r="102" spans="1:48" x14ac:dyDescent="0.25">
      <c r="A102" t="s">
        <v>54</v>
      </c>
      <c r="B102" t="s">
        <v>55</v>
      </c>
      <c r="C102" t="s">
        <v>56</v>
      </c>
      <c r="D102" t="s">
        <v>57</v>
      </c>
      <c r="E102" t="s">
        <v>58</v>
      </c>
      <c r="G102" t="s">
        <v>59</v>
      </c>
      <c r="L102" t="s">
        <v>61</v>
      </c>
      <c r="Q102" t="s">
        <v>91</v>
      </c>
      <c r="S102" t="s">
        <v>92</v>
      </c>
      <c r="T102" t="s">
        <v>63</v>
      </c>
      <c r="U102" t="s">
        <v>63</v>
      </c>
      <c r="V102" t="s">
        <v>64</v>
      </c>
      <c r="X102">
        <v>100</v>
      </c>
      <c r="Y102">
        <v>15582</v>
      </c>
      <c r="Z102">
        <f>Y102*X102</f>
        <v>1558200</v>
      </c>
      <c r="AE102">
        <v>8</v>
      </c>
      <c r="AJ102" t="s">
        <v>65</v>
      </c>
      <c r="AM102" t="s">
        <v>66</v>
      </c>
      <c r="AN102" t="s">
        <v>152</v>
      </c>
      <c r="AQ102"/>
      <c r="AT102">
        <v>11</v>
      </c>
      <c r="AV102">
        <v>60</v>
      </c>
    </row>
    <row r="103" spans="1:48" x14ac:dyDescent="0.25">
      <c r="A103" t="s">
        <v>54</v>
      </c>
      <c r="B103" t="s">
        <v>55</v>
      </c>
      <c r="C103" t="s">
        <v>56</v>
      </c>
      <c r="D103" t="s">
        <v>57</v>
      </c>
      <c r="E103" t="s">
        <v>58</v>
      </c>
      <c r="G103" t="s">
        <v>59</v>
      </c>
      <c r="L103" t="s">
        <v>61</v>
      </c>
      <c r="Q103" t="s">
        <v>103</v>
      </c>
      <c r="S103" t="s">
        <v>104</v>
      </c>
      <c r="T103" t="s">
        <v>63</v>
      </c>
      <c r="U103" t="s">
        <v>63</v>
      </c>
      <c r="V103" t="s">
        <v>64</v>
      </c>
      <c r="X103">
        <v>24</v>
      </c>
      <c r="Y103" s="47">
        <v>41965</v>
      </c>
      <c r="Z103">
        <f>Y103*X103</f>
        <v>1007160</v>
      </c>
      <c r="AE103">
        <v>8</v>
      </c>
      <c r="AJ103" t="s">
        <v>65</v>
      </c>
      <c r="AM103" t="s">
        <v>66</v>
      </c>
      <c r="AN103" t="s">
        <v>152</v>
      </c>
      <c r="AQ103" t="s">
        <v>101</v>
      </c>
      <c r="AT103">
        <v>10.08</v>
      </c>
      <c r="AV103">
        <v>60</v>
      </c>
    </row>
    <row r="104" spans="1:48" x14ac:dyDescent="0.25">
      <c r="A104" t="s">
        <v>54</v>
      </c>
      <c r="B104" t="s">
        <v>55</v>
      </c>
      <c r="C104" t="s">
        <v>56</v>
      </c>
      <c r="D104" t="s">
        <v>57</v>
      </c>
      <c r="E104" t="s">
        <v>58</v>
      </c>
      <c r="G104" t="s">
        <v>59</v>
      </c>
      <c r="L104" t="s">
        <v>61</v>
      </c>
      <c r="Q104" t="s">
        <v>106</v>
      </c>
      <c r="S104" t="s">
        <v>107</v>
      </c>
      <c r="T104" t="s">
        <v>63</v>
      </c>
      <c r="U104" t="s">
        <v>63</v>
      </c>
      <c r="V104" t="s">
        <v>64</v>
      </c>
      <c r="X104">
        <v>48</v>
      </c>
      <c r="Y104" s="47">
        <v>41965</v>
      </c>
      <c r="Z104">
        <f>Y104*X104</f>
        <v>2014320</v>
      </c>
      <c r="AE104">
        <v>8</v>
      </c>
      <c r="AJ104" t="s">
        <v>65</v>
      </c>
      <c r="AM104" t="s">
        <v>66</v>
      </c>
      <c r="AN104" t="s">
        <v>152</v>
      </c>
      <c r="AQ104" t="s">
        <v>101</v>
      </c>
      <c r="AT104">
        <v>20.16</v>
      </c>
      <c r="AV104">
        <v>60</v>
      </c>
    </row>
  </sheetData>
  <autoFilter ref="A1:AS2600" xr:uid="{00000000-0009-0000-0000-000000000000}"/>
  <mergeCells count="1">
    <mergeCell ref="Q7:AP7"/>
  </mergeCells>
  <conditionalFormatting sqref="S1:S915 S917:S934 S936:S1333 S1335:S1726 S1728:S2019 S2021:S2327 S2329:S2368 S2370:S2387 S2389:S2459 S2461:S2483 S2485:S2503 S2505 S2509 S2514 S2516:S2522 S2528:S2542 S2544:S2546 S2548 S2550:S2569 S2572:S2576 S2578:S2584 S2586:S2594 S2596:S2598 S2600:S1048337">
    <cfRule type="containsText" dxfId="0" priority="368" operator="containsText" text="Không thấy tên sản phẩm">
      <formula>NOT(ISERROR(SEARCH("Không thấy tên sản phẩm",S1)))</formula>
    </cfRule>
  </conditionalFormatting>
  <dataValidations xWindow="839" yWindow="418" count="40">
    <dataValidation allowBlank="1" showInputMessage="1" showErrorMessage="1" promptTitle="AMIS ACCOUNTING" prompt="Nhập Ngày đơn hàng" sqref="A8" xr:uid="{00000000-0002-0000-0000-000000000000}"/>
    <dataValidation allowBlank="1" showInputMessage="1" showErrorMessage="1" promptTitle="AMIS ACCOUNTING" prompt="Nhập số đơn hàng_x000a_Tối đa 25 ký tự." sqref="B8" xr:uid="{00000000-0002-0000-0000-000001000000}"/>
    <dataValidation allowBlank="1" showInputMessage="1" showErrorMessage="1" promptTitle="MISA SME.NET" prompt="Nhập địa điểm giao hàng._x000a_Tối đa 255 ký tự." sqref="E1:E7" xr:uid="{00000000-0002-0000-0000-000002000000}"/>
    <dataValidation allowBlank="1" showInputMessage="1" showErrorMessage="1" promptTitle="MISA SME.NET" prompt="Nhập Ngày giao hàng" sqref="D1:D7" xr:uid="{00000000-0002-0000-0000-000003000000}"/>
    <dataValidation allowBlank="1" showInputMessage="1" showErrorMessage="1" promptTitle="AMIS ACCOUNTING" prompt="Nhập Ngày giao hàng" sqref="D8" xr:uid="{00000000-0002-0000-0000-000004000000}"/>
    <dataValidation allowBlank="1" showInputMessage="1" showErrorMessage="1" promptTitle="AMIS ACCOUNTING" prompt="Nhập địa điểm giao hàng._x000a_Tối đa 255 ký tự." sqref="E8" xr:uid="{00000000-0002-0000-0000-000005000000}"/>
    <dataValidation allowBlank="1" showInputMessage="1" showErrorMessage="1" promptTitle="AMIS ACCOUNTING" prompt="Nhập tiền thuế giá trị gia tăng quy đổi: tối đa 14 ký tự." sqref="AH8" xr:uid="{00000000-0002-0000-0000-000006000000}"/>
    <dataValidation allowBlank="1" showInputMessage="1" showErrorMessage="1" promptTitle="AMIS ACCOUNTING" prompt="Nhập Tiền chiết khấu_x000a_Tối đa 14 ký tự." sqref="AC8" xr:uid="{00000000-0002-0000-0000-000007000000}"/>
    <dataValidation allowBlank="1" showInputMessage="1" showErrorMessage="1" promptTitle="AMIS ACCOUNTING" prompt="Nhập Tỷ lệ chiết khẩu_x000a_Nhập giá trị trong khoảng 0 - 100." sqref="AB8" xr:uid="{00000000-0002-0000-0000-000008000000}"/>
    <dataValidation allowBlank="1" showInputMessage="1" showErrorMessage="1" promptTitle="AMIS ACCOUNTING" prompt="Nhập Thành tiền_x000a_Tối đa 14 ký tự." sqref="Z8" xr:uid="{00000000-0002-0000-0000-000009000000}"/>
    <dataValidation allowBlank="1" showInputMessage="1" showErrorMessage="1" promptTitle="AMIS ACCOUNTING" prompt="Nhập Đơn giá_x000a_Tối đa 14 ký tự." sqref="Y8" xr:uid="{00000000-0002-0000-0000-00000A000000}"/>
    <dataValidation allowBlank="1" showInputMessage="1" showErrorMessage="1" promptTitle="AMIS ACCOUNTING" prompt="Nhập Số lượng_x000a_Tối đa 14 ký tự." sqref="X8" xr:uid="{00000000-0002-0000-0000-00000B000000}"/>
    <dataValidation allowBlank="1" showInputMessage="1" showErrorMessage="1" promptTitle="AMIS ACCOUNTING" prompt="Nhập Đơn vị tính." sqref="W8" xr:uid="{00000000-0002-0000-0000-00000C000000}"/>
    <dataValidation allowBlank="1" showInputMessage="1" showErrorMessage="1" promptTitle="AMIS ACCOUNTING" prompt="Nhập Mã khoản mục CP_x000a_" sqref="AI8" xr:uid="{00000000-0002-0000-0000-00000D000000}"/>
    <dataValidation allowBlank="1" showInputMessage="1" showErrorMessage="1" promptTitle="AMIS ACCOUNTING" prompt="Nhập mã kho" sqref="V8" xr:uid="{00000000-0002-0000-0000-00000E000000}"/>
    <dataValidation allowBlank="1" showInputMessage="1" showErrorMessage="1" promptTitle="AMIS ACCOUNTING" prompt="Đây có phải là dòng ghi chú không?_x000a_Có_x000a_Không_x000a_" sqref="T8" xr:uid="{00000000-0002-0000-0000-00000F000000}"/>
    <dataValidation allowBlank="1" showInputMessage="1" showErrorMessage="1" promptTitle="AMIS ACCOUNTING" prompt="Đơn đặt hàng có tính giá thành không?_x000a_Có_x000a_Không_x000a_Nếu để trống mặc định là Có." sqref="F8" xr:uid="{00000000-0002-0000-0000-000010000000}"/>
    <dataValidation allowBlank="1" showInputMessage="1" showErrorMessage="1" promptTitle="AMIS ACCOUNTING" prompt="Nhập Mã thống kê. Tối đa 20 ký tự." sqref="AM8:AV8" xr:uid="{00000000-0002-0000-0000-000011000000}"/>
    <dataValidation allowBlank="1" showInputMessage="1" showErrorMessage="1" promptTitle="AMIS ACCOUNTING" prompt="Nhập Số hợp đồng bán. Tối đa 50 ký tự." sqref="AL8" xr:uid="{00000000-0002-0000-0000-000012000000}"/>
    <dataValidation allowBlank="1" showInputMessage="1" showErrorMessage="1" promptTitle="AMIS ACCOUNTING" prompt="Nhập Mã đối tượng tập hợp chi phí._x000a_Tối đa 20 ký tự." sqref="AK8" xr:uid="{00000000-0002-0000-0000-000013000000}"/>
    <dataValidation allowBlank="1" showInputMessage="1" showErrorMessage="1" promptTitle="AMIS ACCOUNTING" prompt="Nhập Mã đơn vị. Tối đa 20 ký tự." sqref="AJ8" xr:uid="{00000000-0002-0000-0000-000014000000}"/>
    <dataValidation allowBlank="1" showInputMessage="1" showErrorMessage="1" promptTitle="AMIS ACCOUNTING" prompt="Nhập Là hàng khuyến mại._x000a_- Có_x000a_- Không_x000a_" sqref="U8" xr:uid="{00000000-0002-0000-0000-000015000000}"/>
    <dataValidation allowBlank="1" showInputMessage="1" showErrorMessage="1" promptTitle="AMIS ACCOUNTING" prompt="Nhập Mã nhân viên bán hàng." sqref="M8" xr:uid="{00000000-0002-0000-0000-000016000000}"/>
    <dataValidation allowBlank="1" showInputMessage="1" showErrorMessage="1" promptTitle="AMIS ACCOUNTING" prompt="Nhập Diễn giải_x000a_Tối đa 255 ký tự." sqref="L8" xr:uid="{00000000-0002-0000-0000-000017000000}"/>
    <dataValidation allowBlank="1" showInputMessage="1" showErrorMessage="1" promptTitle="AMIS ACCOUNTING" prompt="Nhập Mã số thuế khách hàng: tối đa 20 ký tự." sqref="J8" xr:uid="{00000000-0002-0000-0000-000018000000}"/>
    <dataValidation allowBlank="1" showInputMessage="1" showErrorMessage="1" promptTitle="AMIS ACCOUNTING" prompt="Nhập Địa chỉ khách hàng: Tối đa 255 ký tự." sqref="I8" xr:uid="{00000000-0002-0000-0000-000019000000}"/>
    <dataValidation allowBlank="1" showInputMessage="1" showErrorMessage="1" promptTitle="AMIS ACCOUNTING" prompt="Nhập Trạng thái đơn hàng:_x000a_Chưa thực hiện_x000a_Đang thực hiện_x000a_Hoàn thành_x000a_Đã hủy bỏ_x000a_Nếu để trống mặc định là Chưa thực hiện." sqref="C8" xr:uid="{00000000-0002-0000-0000-00001A000000}"/>
    <dataValidation allowBlank="1" showInputMessage="1" showErrorMessage="1" promptTitle="AMIS ACCOUNTING" prompt="Nhập Thành tiền quy đổi_x000a_Tối đa 14 ký tự." sqref="AA8" xr:uid="{00000000-0002-0000-0000-00001B000000}"/>
    <dataValidation allowBlank="1" showInputMessage="1" showErrorMessage="1" promptTitle="AMIS ACCOUNTING" prompt="Nhập Tiền chiết khấu quy đổi_x000a_Tối đa 14 ký tự." sqref="AD8" xr:uid="{00000000-0002-0000-0000-00001C000000}"/>
    <dataValidation allowBlank="1" showInputMessage="1" showErrorMessage="1" promptTitle="AMIS ACCOUNTING" prompt="Nhập Mã loại tiền._x000a_Nếu bỏ trống ngầm định là đồng tiền hạch toán." sqref="O8" xr:uid="{00000000-0002-0000-0000-00001D000000}"/>
    <dataValidation allowBlank="1" showInputMessage="1" showErrorMessage="1" promptTitle="AMIS ACCOUNTING" prompt="Nhập Tỷ giá: tối đa 14 ký tự._x000a_Nếu để trống thì mặc định lấy tỷ giá theo Loại tiền." sqref="P8" xr:uid="{00000000-0002-0000-0000-00001E000000}"/>
    <dataValidation allowBlank="1" showInputMessage="1" showErrorMessage="1" promptTitle="AMIS ACCOUNTING" prompt="Nhập tiền thuế giá trị gia tăng: tối đa 14 ký tự." sqref="AG8" xr:uid="{00000000-0002-0000-0000-00001F000000}"/>
    <dataValidation allowBlank="1" showInputMessage="1" showErrorMessage="1" promptTitle="AMIS ACCOUNTING" prompt="Nhập Tên người nhận hàng" sqref="K8" xr:uid="{00000000-0002-0000-0000-000020000000}"/>
    <dataValidation allowBlank="1" showInputMessage="1" showErrorMessage="1" promptTitle="AMIS ACCOUNTING" prompt="Nhập mã hàng_x000a_" sqref="Q8" xr:uid="{00000000-0002-0000-0000-000021000000}"/>
    <dataValidation allowBlank="1" showInputMessage="1" showErrorMessage="1" promptTitle="AMIS ACCOUTING" prompt="Nhập Mã khách hàng." sqref="G8" xr:uid="{00000000-0002-0000-0000-000022000000}"/>
    <dataValidation allowBlank="1" showInputMessage="1" showErrorMessage="1" promptTitle="AMIS ACCOUTING" prompt="Nhập Tên khách hàng." sqref="H8" xr:uid="{00000000-0002-0000-0000-000023000000}"/>
    <dataValidation allowBlank="1" showInputMessage="1" showErrorMessage="1" promptTitle="AMIS ACCOUTING" prompt="Nhập thuế suất thuế giá trị gia tăng: 0,5,8,10,KCT,KKKNT,KHAC." sqref="AE8" xr:uid="{00000000-0002-0000-0000-000024000000}"/>
    <dataValidation allowBlank="1" showInputMessage="1" showErrorMessage="1" promptTitle="AMIS ACCOUTING" prompt="Chỉ nhập nếu % thuế suất giá trị gia tăng là KHAC." sqref="AF8" xr:uid="{00000000-0002-0000-0000-000025000000}"/>
    <dataValidation allowBlank="1" showInputMessage="1" showErrorMessage="1" promptTitle="AMIS ACCOUNTING" prompt="Nhập mã combo chứa dòng hàng hóa chi tiết này. Chỉ nhập giá trị với các dòng là hàng hóa chi tiết trong combo._x000a_" sqref="R8" xr:uid="{00000000-0002-0000-0000-000026000000}"/>
    <dataValidation allowBlank="1" showInputMessage="1" showErrorMessage="1" promptTitle="AMIS ACCOUNTING" prompt="Nhập tên hàng hóa" sqref="S8" xr:uid="{00000000-0002-0000-0000-000027000000}"/>
  </dataValidations>
  <pageMargins left="0.7" right="0.7" top="0.75" bottom="0.75" header="0.3" footer="0.3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Don dat hang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 NGUYEN THI</dc:creator>
  <cp:lastModifiedBy>Thành Huỳnh Đạt</cp:lastModifiedBy>
  <dcterms:created xsi:type="dcterms:W3CDTF">2020-04-13T09:40:17Z</dcterms:created>
  <dcterms:modified xsi:type="dcterms:W3CDTF">2026-08-27T03:53:51Z</dcterms:modified>
</cp:coreProperties>
</file>