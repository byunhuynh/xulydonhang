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54677693-8BCE-4E55-9FA7-D55B5D40B648}" xr6:coauthVersionLast="47" xr6:coauthVersionMax="47" xr10:uidLastSave="{00000000-0000-0000-0000-000000000000}"/>
  <bookViews>
    <workbookView xWindow="3120" yWindow="2310" windowWidth="23625" windowHeight="13290" xr2:uid="{00000000-000D-0000-FFFF-FFFF00000000}"/>
  </bookViews>
  <sheets>
    <sheet name="Don dat hang" sheetId="1" r:id="rId1"/>
    <sheet name="Sheet2" sheetId="2" r:id="rId2"/>
  </sheets>
  <definedNames>
    <definedName name="_xlnm._FilterDatabase" localSheetId="0" hidden="1">'Don dat hang'!$A$1:$AS$9</definedName>
    <definedName name="SAVouch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3" i="1" l="1"/>
  <c r="Z12" i="1"/>
  <c r="Z11" i="1"/>
  <c r="Z10" i="1"/>
</calcChain>
</file>

<file path=xl/sharedStrings.xml><?xml version="1.0" encoding="utf-8"?>
<sst xmlns="http://schemas.openxmlformats.org/spreadsheetml/2006/main" count="126" uniqueCount="83">
  <si>
    <t>FILE MẪU ĐƠN ĐẶT HÀNG ĐỂ NHẬP VÀO PHẦN MỀM AMIS ACCOUNTING</t>
  </si>
  <si>
    <t>Hướng dẫn:</t>
  </si>
  <si>
    <t>- Điền dữ liệu vào các cột tương ứng trên file này</t>
  </si>
  <si>
    <t>- Các cột có dấu (*) là những cột bắt buộc</t>
  </si>
  <si>
    <t>- Nếu muốn nhập nhiều thông tin hơn người dùng có thể tải mẫu đầy đủ/hoặc tự thêm cột trên mẫu cơ bản</t>
  </si>
  <si>
    <t>- Các dòng dữ liệu phía dưới chỉ là ví dụ minh họa</t>
  </si>
  <si>
    <t>Chi tiết hàng tiền</t>
  </si>
  <si>
    <t>Ngày đơn hàng (*)</t>
  </si>
  <si>
    <t>Số đơn hàng (*)</t>
  </si>
  <si>
    <t>Trạng thái</t>
  </si>
  <si>
    <t>Ngày giao hàng</t>
  </si>
  <si>
    <t>Địa điểm giao hàng</t>
  </si>
  <si>
    <t>Tính giá thành</t>
  </si>
  <si>
    <t>Mã khách hàng</t>
  </si>
  <si>
    <t>Tên khách hàng</t>
  </si>
  <si>
    <t>Địa chỉ</t>
  </si>
  <si>
    <t>Mã số thuế</t>
  </si>
  <si>
    <t>Người nhận hàng</t>
  </si>
  <si>
    <t>Diễn giải</t>
  </si>
  <si>
    <t>Mã nhân viên bán hàng</t>
  </si>
  <si>
    <t>Là đơn đặt hàng phát sinh trước khi sử dụng phần mềm</t>
  </si>
  <si>
    <t>Loại tiền</t>
  </si>
  <si>
    <t>Tỷ giá</t>
  </si>
  <si>
    <t>Mã hàng (*)</t>
  </si>
  <si>
    <t>Thuộc combo</t>
  </si>
  <si>
    <t>Tên hàng</t>
  </si>
  <si>
    <t>Là dòng ghi chú</t>
  </si>
  <si>
    <t>Hàng khuyến mại</t>
  </si>
  <si>
    <t>Mã kho</t>
  </si>
  <si>
    <t>ĐVT</t>
  </si>
  <si>
    <t>Số lượng</t>
  </si>
  <si>
    <t>Đơn giá</t>
  </si>
  <si>
    <t>Thành tiền</t>
  </si>
  <si>
    <t>Thành tiền quy đổi</t>
  </si>
  <si>
    <t>Tỷ lệ CK (%)</t>
  </si>
  <si>
    <t>Tiền chiết khấu</t>
  </si>
  <si>
    <t>Tiền chiết khấu quy đổi</t>
  </si>
  <si>
    <t>% thuế GTGT</t>
  </si>
  <si>
    <t>% thuế suất KHAC</t>
  </si>
  <si>
    <t>Tiền thuế GTGT</t>
  </si>
  <si>
    <t>Tiền thuế GTGT quy đổi</t>
  </si>
  <si>
    <t>Mã khoản mục chi phí</t>
  </si>
  <si>
    <t>Mã đơn vị</t>
  </si>
  <si>
    <t>Mã đối tượng THCP</t>
  </si>
  <si>
    <t>Số hợp đồng bán</t>
  </si>
  <si>
    <t>Mã thống kê</t>
  </si>
  <si>
    <t>Công Trình</t>
  </si>
  <si>
    <t>Ghi Chú</t>
  </si>
  <si>
    <t>Mã hàng co</t>
  </si>
  <si>
    <t>Nội dung khuyến mãi</t>
  </si>
  <si>
    <t>Mã barcode DIY</t>
  </si>
  <si>
    <t>Mã barcode G TIN</t>
  </si>
  <si>
    <t>Trọng lượng</t>
  </si>
  <si>
    <t>Số ngày được nợ</t>
  </si>
  <si>
    <t>ĐĐHMR.DIY-0000021183</t>
  </si>
  <si>
    <t>Chưa thực hiện</t>
  </si>
  <si>
    <t>14 Phan Đăng Lưu, Khu phố 7, Biên Hòa, Đồng Nai</t>
  </si>
  <si>
    <t>MN_MT_MRDIY</t>
  </si>
  <si>
    <t>MR.DIY 0000021183 (Tổng trọng lượng: 1.19 tấn)</t>
  </si>
  <si>
    <t>MR.DIY 0000021183</t>
  </si>
  <si>
    <t>Có</t>
  </si>
  <si>
    <t>Không</t>
  </si>
  <si>
    <t>MT_MN</t>
  </si>
  <si>
    <t>LA</t>
  </si>
  <si>
    <t>TP30671</t>
  </si>
  <si>
    <t>Bột tẩy lồng Smile Mom 450g ( 20 túi /1 thùng)</t>
  </si>
  <si>
    <t>38%</t>
  </si>
  <si>
    <t>3201417</t>
  </si>
  <si>
    <t>HH00213</t>
  </si>
  <si>
    <t>Chai tẩy vệ sinh toilet Chung Blue Hương Đào (QC*24)(Cốc thả màu cam, màu vàng)</t>
  </si>
  <si>
    <t>3201418</t>
  </si>
  <si>
    <t>HH00138</t>
  </si>
  <si>
    <t>Chai tẩy vệ sinh toilet Chung Blue 180g (QC*24) ( Cốc tím )</t>
  </si>
  <si>
    <t>3201419</t>
  </si>
  <si>
    <t>TP32279_02</t>
  </si>
  <si>
    <t>Nước lau kính Blue 560ml Hương Ngàn hoa</t>
  </si>
  <si>
    <t>3201890</t>
  </si>
  <si>
    <t>ĐĐHWINMART-4901291301</t>
  </si>
  <si>
    <t>ĐĐHWINMART-4186877496</t>
  </si>
  <si>
    <t>ĐĐHWINMART-4186877299</t>
  </si>
  <si>
    <t>ĐĐHWINMART-4186877703</t>
  </si>
  <si>
    <t>ĐĐHWINMART-4186877510</t>
  </si>
  <si>
    <t>LA_TP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</si>
</sst>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10000]d/m/yyyy;@"/>
    <numFmt numFmtId="165" formatCode="[$-F800]dddd\,\ mmmm\ dd\,\ yyyy"/>
  </numFmts>
  <fonts count="8" x14ac:knownFonts="1">
    <font>
      <sz val="11"/>
      <color indexed="8"/>
      <name val="Calibri"/>
      <family val="2"/>
    </font>
    <font>
      <sz val="11"/>
      <color theme="1"/>
      <name val="Calibri"/>
      <family val="2"/>
      <charset val="163"/>
      <scheme val="minor"/>
    </font>
    <font>
      <b/>
      <sz val="16"/>
      <color indexed="8"/>
      <name val="Times New Roman"/>
      <family val="1"/>
    </font>
    <font>
      <b/>
      <sz val="12"/>
      <name val="Times New Roman"/>
      <family val="1"/>
    </font>
    <font>
      <sz val="11"/>
      <color indexed="8"/>
      <name val="Times New Roman"/>
      <family val="1"/>
    </font>
    <font>
      <b/>
      <sz val="12"/>
      <color indexed="10"/>
      <name val="Times New Roman"/>
      <family val="1"/>
    </font>
    <font>
      <sz val="12"/>
      <color indexed="8"/>
      <name val="Times New Roman"/>
      <family val="1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49">
    <xf numFmtId="0" fontId="0" fillId="0" borderId="0" xfId="0"/>
    <xf numFmtId="1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49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left" vertical="center" wrapText="1"/>
    </xf>
    <xf numFmtId="1" fontId="4" fillId="0" borderId="0" xfId="0" applyNumberFormat="1" applyFont="1"/>
    <xf numFmtId="0" fontId="5" fillId="5" borderId="0" xfId="0" applyFont="1" applyFill="1" applyAlignment="1">
      <alignment horizontal="left" vertical="center"/>
    </xf>
    <xf numFmtId="49" fontId="6" fillId="5" borderId="0" xfId="0" quotePrefix="1" applyNumberFormat="1" applyFont="1" applyFill="1" applyAlignment="1">
      <alignment horizontal="left" vertical="center"/>
    </xf>
    <xf numFmtId="49" fontId="6" fillId="0" borderId="0" xfId="0" quotePrefix="1" applyNumberFormat="1" applyFont="1" applyAlignment="1">
      <alignment horizontal="left" vertical="center" wrapText="1"/>
    </xf>
    <xf numFmtId="49" fontId="6" fillId="0" borderId="0" xfId="0" quotePrefix="1" applyNumberFormat="1" applyFont="1" applyAlignment="1">
      <alignment horizontal="left" vertical="center"/>
    </xf>
    <xf numFmtId="1" fontId="6" fillId="0" borderId="0" xfId="0" quotePrefix="1" applyNumberFormat="1" applyFont="1" applyAlignment="1">
      <alignment horizontal="left" vertical="center"/>
    </xf>
    <xf numFmtId="0" fontId="6" fillId="5" borderId="0" xfId="0" quotePrefix="1" applyFont="1" applyFill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49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9" fontId="4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37" fontId="4" fillId="0" borderId="0" xfId="0" applyNumberFormat="1" applyFont="1" applyAlignment="1">
      <alignment horizontal="left" vertical="center"/>
    </xf>
    <xf numFmtId="39" fontId="4" fillId="0" borderId="0" xfId="0" applyNumberFormat="1" applyFont="1" applyAlignment="1">
      <alignment horizontal="left" vertical="center"/>
    </xf>
    <xf numFmtId="2" fontId="4" fillId="0" borderId="0" xfId="0" applyNumberFormat="1" applyFont="1"/>
    <xf numFmtId="2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2" fontId="4" fillId="0" borderId="0" xfId="0" applyNumberFormat="1" applyFont="1" applyAlignment="1">
      <alignment horizontal="left"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/>
    <xf numFmtId="49" fontId="4" fillId="0" borderId="0" xfId="0" applyNumberFormat="1" applyFont="1"/>
    <xf numFmtId="164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5" fontId="5" fillId="5" borderId="0" xfId="0" applyNumberFormat="1" applyFont="1" applyFill="1" applyAlignment="1">
      <alignment horizontal="left" vertical="center"/>
    </xf>
    <xf numFmtId="165" fontId="6" fillId="5" borderId="0" xfId="0" quotePrefix="1" applyNumberFormat="1" applyFont="1" applyFill="1" applyAlignment="1">
      <alignment horizontal="left" vertical="center"/>
    </xf>
    <xf numFmtId="165" fontId="6" fillId="0" borderId="0" xfId="0" quotePrefix="1" applyNumberFormat="1" applyFont="1" applyAlignment="1">
      <alignment horizontal="left" vertical="center"/>
    </xf>
    <xf numFmtId="165" fontId="4" fillId="0" borderId="0" xfId="0" applyNumberFormat="1" applyFont="1"/>
    <xf numFmtId="164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165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0" fontId="2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quotePrefix="1" applyFont="1" applyAlignment="1">
      <alignment horizontal="left" vertical="center"/>
    </xf>
    <xf numFmtId="49" fontId="3" fillId="6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/>
    <xf numFmtId="14" fontId="0" fillId="0" borderId="0" xfId="0" applyNumberFormat="1"/>
    <xf numFmtId="49" fontId="3" fillId="4" borderId="2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3" xfId="0" applyBorder="1" applyProtection="1">
      <protection hidden="1"/>
    </xf>
  </cellXfs>
  <cellStyles count="3">
    <cellStyle name="Normal" xfId="0" builtinId="0"/>
    <cellStyle name="Normal 2" xfId="2" xr:uid="{00000000-0005-0000-0000-000002000000}"/>
    <cellStyle name="Normal 2 3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V18"/>
  <sheetViews>
    <sheetView tabSelected="1" topLeftCell="R1" zoomScale="85" zoomScaleNormal="85" workbookViewId="0">
      <selection activeCell="V9" sqref="V9:V13"/>
    </sheetView>
  </sheetViews>
  <sheetFormatPr defaultRowHeight="15" x14ac:dyDescent="0.25"/>
  <cols>
    <col min="1" max="1" width="18.7109375" style="30" customWidth="1"/>
    <col min="2" max="2" width="29.140625" style="19" customWidth="1"/>
    <col min="3" max="3" width="18.7109375" style="41" customWidth="1"/>
    <col min="4" max="4" width="18.7109375" style="30" customWidth="1"/>
    <col min="5" max="5" width="35" style="19" customWidth="1"/>
    <col min="6" max="6" width="6.7109375" style="31" customWidth="1"/>
    <col min="7" max="7" width="23.42578125" style="19" customWidth="1"/>
    <col min="8" max="8" width="22.28515625" style="19" hidden="1" customWidth="1"/>
    <col min="9" max="9" width="25.28515625" style="17" hidden="1" customWidth="1"/>
    <col min="10" max="10" width="17.140625" style="20" hidden="1" customWidth="1"/>
    <col min="11" max="11" width="20.28515625" style="20" bestFit="1" customWidth="1"/>
    <col min="12" max="12" width="62.5703125" style="17" bestFit="1" customWidth="1"/>
    <col min="13" max="13" width="17.140625" style="31" customWidth="1"/>
    <col min="14" max="14" width="25.5703125" style="29" hidden="1" customWidth="1"/>
    <col min="15" max="15" width="12.7109375" style="31" hidden="1" customWidth="1"/>
    <col min="16" max="16" width="12.7109375" style="21" hidden="1" customWidth="1"/>
    <col min="17" max="17" width="17.42578125" style="41" customWidth="1"/>
    <col min="18" max="18" width="30.85546875" style="41" customWidth="1"/>
    <col min="19" max="19" width="76" style="18" bestFit="1" customWidth="1"/>
    <col min="20" max="20" width="12.7109375" style="41" customWidth="1"/>
    <col min="21" max="21" width="9.85546875" style="41" customWidth="1"/>
    <col min="22" max="22" width="14.85546875" style="41" customWidth="1"/>
    <col min="23" max="23" width="13.42578125" style="41" customWidth="1"/>
    <col min="24" max="24" width="14.140625" style="23" bestFit="1" customWidth="1"/>
    <col min="25" max="25" width="11.5703125" style="22" customWidth="1"/>
    <col min="26" max="26" width="16.28515625" style="22" bestFit="1" customWidth="1"/>
    <col min="27" max="27" width="16.85546875" style="22" hidden="1" customWidth="1"/>
    <col min="28" max="28" width="14.140625" style="26" hidden="1" customWidth="1"/>
    <col min="29" max="29" width="15.7109375" style="22" hidden="1" customWidth="1"/>
    <col min="30" max="30" width="14.5703125" style="22" hidden="1" customWidth="1"/>
    <col min="31" max="31" width="7" style="26" customWidth="1"/>
    <col min="32" max="32" width="14.5703125" style="26" hidden="1" customWidth="1"/>
    <col min="33" max="33" width="16.5703125" style="22" hidden="1" customWidth="1"/>
    <col min="34" max="34" width="14.5703125" style="22" hidden="1" customWidth="1"/>
    <col min="35" max="35" width="16.85546875" style="41" hidden="1" customWidth="1"/>
    <col min="36" max="36" width="13.85546875" style="41" customWidth="1"/>
    <col min="37" max="37" width="16.140625" style="41" hidden="1" customWidth="1"/>
    <col min="38" max="38" width="16.7109375" style="41" hidden="1" customWidth="1"/>
    <col min="39" max="39" width="11.5703125" style="41" customWidth="1"/>
    <col min="40" max="40" width="20.7109375" style="41" customWidth="1"/>
    <col min="41" max="41" width="30.28515625" style="14" customWidth="1"/>
    <col min="42" max="42" width="16.5703125" style="14" customWidth="1"/>
    <col min="43" max="43" width="25.7109375" style="14" customWidth="1"/>
    <col min="44" max="44" width="19.7109375" style="14" customWidth="1"/>
    <col min="45" max="45" width="23.140625" style="14" customWidth="1"/>
    <col min="46" max="46" width="17.7109375" style="14" customWidth="1"/>
    <col min="47" max="47" width="9.140625" style="14" customWidth="1"/>
    <col min="48" max="48" width="17.7109375" style="14" customWidth="1"/>
    <col min="49" max="50" width="9.140625" style="14" customWidth="1"/>
    <col min="51" max="51" width="31.42578125" style="14" customWidth="1"/>
    <col min="52" max="52" width="13.7109375" style="14" customWidth="1"/>
    <col min="53" max="1055" width="9.140625" style="14" customWidth="1"/>
    <col min="1056" max="16384" width="9.140625" style="14"/>
  </cols>
  <sheetData>
    <row r="1" spans="1:48" ht="20.25" customHeight="1" x14ac:dyDescent="0.25">
      <c r="A1" s="40" t="s">
        <v>0</v>
      </c>
      <c r="B1" s="40"/>
      <c r="C1" s="40"/>
      <c r="D1" s="40"/>
      <c r="E1" s="32"/>
      <c r="F1" s="32"/>
      <c r="G1" s="40">
        <v>3625</v>
      </c>
      <c r="H1" s="6"/>
      <c r="I1" s="33"/>
      <c r="J1" s="33"/>
      <c r="K1" s="6"/>
      <c r="L1" s="33"/>
      <c r="M1" s="33"/>
      <c r="O1" s="33"/>
      <c r="P1" s="33"/>
      <c r="Q1" s="14"/>
      <c r="R1" s="14"/>
      <c r="S1" s="6"/>
      <c r="T1" s="3"/>
      <c r="U1" s="3"/>
      <c r="V1" s="3"/>
      <c r="W1" s="3"/>
      <c r="X1" s="3"/>
      <c r="Y1" s="3"/>
      <c r="Z1" s="3"/>
      <c r="AA1" s="3"/>
      <c r="AB1" s="24"/>
      <c r="AC1" s="29"/>
      <c r="AD1" s="29"/>
      <c r="AE1" s="27"/>
      <c r="AF1" s="27"/>
      <c r="AG1" s="7"/>
      <c r="AH1" s="7"/>
      <c r="AI1" s="4"/>
      <c r="AJ1" s="4"/>
      <c r="AK1" s="4"/>
      <c r="AL1" s="4"/>
      <c r="AM1" s="4"/>
      <c r="AN1" s="4"/>
    </row>
    <row r="2" spans="1:48" ht="15.75" customHeight="1" x14ac:dyDescent="0.25">
      <c r="A2" s="8" t="s">
        <v>1</v>
      </c>
      <c r="B2" s="8"/>
      <c r="C2" s="8"/>
      <c r="D2" s="8"/>
      <c r="E2" s="34"/>
      <c r="F2" s="35"/>
      <c r="G2" s="9"/>
      <c r="H2" s="10"/>
      <c r="I2" s="36"/>
      <c r="J2" s="36"/>
      <c r="K2" s="10"/>
      <c r="L2" s="36"/>
      <c r="M2" s="36"/>
      <c r="O2" s="36"/>
      <c r="P2" s="36"/>
      <c r="Q2" s="14"/>
      <c r="R2" s="14"/>
      <c r="S2" s="10"/>
      <c r="T2" s="11"/>
      <c r="U2" s="11"/>
      <c r="V2" s="11"/>
      <c r="W2" s="11"/>
      <c r="X2" s="11"/>
      <c r="Y2" s="11"/>
      <c r="Z2" s="11"/>
      <c r="AA2" s="11"/>
      <c r="AB2" s="24"/>
      <c r="AC2" s="29"/>
      <c r="AD2" s="29"/>
      <c r="AE2" s="27"/>
      <c r="AF2" s="27"/>
      <c r="AG2" s="7"/>
      <c r="AH2" s="7"/>
      <c r="AI2" s="12"/>
      <c r="AJ2" s="12"/>
      <c r="AK2" s="12"/>
      <c r="AL2" s="12"/>
      <c r="AM2" s="12"/>
      <c r="AN2" s="12"/>
    </row>
    <row r="3" spans="1:48" ht="15.75" customHeight="1" x14ac:dyDescent="0.25">
      <c r="A3" s="13" t="s">
        <v>2</v>
      </c>
      <c r="B3" s="13"/>
      <c r="C3" s="13"/>
      <c r="D3" s="13"/>
      <c r="E3" s="35"/>
      <c r="F3" s="35"/>
      <c r="G3" s="9"/>
      <c r="H3" s="10"/>
      <c r="I3" s="36"/>
      <c r="J3" s="36"/>
      <c r="K3" s="10"/>
      <c r="L3" s="36"/>
      <c r="M3" s="36"/>
      <c r="O3" s="36"/>
      <c r="P3" s="36"/>
      <c r="Q3" s="14"/>
      <c r="R3" s="14"/>
      <c r="S3" s="10"/>
      <c r="T3" s="11"/>
      <c r="U3" s="11"/>
      <c r="V3" s="11"/>
      <c r="W3" s="11"/>
      <c r="X3" s="11"/>
      <c r="Y3" s="11"/>
      <c r="Z3" s="11"/>
      <c r="AA3" s="11"/>
      <c r="AB3" s="24"/>
      <c r="AC3" s="29"/>
      <c r="AD3" s="29"/>
      <c r="AE3" s="27"/>
      <c r="AF3" s="27"/>
      <c r="AG3" s="7"/>
      <c r="AH3" s="7"/>
      <c r="AI3" s="12"/>
      <c r="AJ3" s="12"/>
      <c r="AK3" s="12"/>
      <c r="AL3" s="12"/>
      <c r="AM3" s="12"/>
      <c r="AN3" s="12"/>
    </row>
    <row r="4" spans="1:48" ht="15.75" customHeight="1" x14ac:dyDescent="0.25">
      <c r="A4" s="13" t="s">
        <v>3</v>
      </c>
      <c r="B4" s="13"/>
      <c r="C4" s="13"/>
      <c r="D4" s="13"/>
      <c r="E4" s="35"/>
      <c r="F4" s="35"/>
      <c r="G4" s="9"/>
      <c r="H4" s="10"/>
      <c r="I4" s="36"/>
      <c r="J4" s="36"/>
      <c r="K4" s="10"/>
      <c r="L4" s="36"/>
      <c r="M4" s="36"/>
      <c r="O4" s="36"/>
      <c r="P4" s="36"/>
      <c r="Q4" s="14"/>
      <c r="R4" s="14"/>
      <c r="S4" s="10"/>
      <c r="T4" s="11"/>
      <c r="U4" s="11"/>
      <c r="V4" s="11"/>
      <c r="W4" s="11"/>
      <c r="X4" s="11"/>
      <c r="Y4" s="11"/>
      <c r="Z4" s="11"/>
      <c r="AA4" s="11"/>
      <c r="AB4" s="24"/>
      <c r="AC4" s="29"/>
      <c r="AD4" s="29"/>
      <c r="AE4" s="27"/>
      <c r="AF4" s="27"/>
      <c r="AG4" s="7"/>
      <c r="AH4" s="7"/>
      <c r="AI4" s="12"/>
      <c r="AJ4" s="12"/>
      <c r="AK4" s="12"/>
      <c r="AL4" s="12"/>
      <c r="AM4" s="12"/>
      <c r="AN4" s="12"/>
    </row>
    <row r="5" spans="1:48" ht="15.75" customHeight="1" x14ac:dyDescent="0.25">
      <c r="A5" s="13" t="s">
        <v>4</v>
      </c>
      <c r="B5" s="13"/>
      <c r="C5" s="13"/>
      <c r="D5" s="13"/>
      <c r="E5" s="35"/>
      <c r="F5" s="35"/>
      <c r="G5" s="9"/>
      <c r="H5" s="10"/>
      <c r="I5" s="36"/>
      <c r="J5" s="36"/>
      <c r="K5" s="10"/>
      <c r="L5" s="36"/>
      <c r="M5" s="36"/>
      <c r="O5" s="36"/>
      <c r="P5" s="36"/>
      <c r="Q5" s="14"/>
      <c r="R5" s="14"/>
      <c r="S5" s="10"/>
      <c r="T5" s="11"/>
      <c r="U5" s="11"/>
      <c r="V5" s="11"/>
      <c r="W5" s="11"/>
      <c r="X5" s="11"/>
      <c r="Y5" s="11"/>
      <c r="Z5" s="43"/>
      <c r="AA5" s="11"/>
      <c r="AB5" s="24"/>
      <c r="AC5" s="29"/>
      <c r="AD5" s="29"/>
      <c r="AE5" s="27"/>
      <c r="AF5" s="27"/>
      <c r="AG5" s="7"/>
      <c r="AH5" s="7"/>
      <c r="AI5" s="12"/>
      <c r="AJ5" s="12"/>
      <c r="AK5" s="12"/>
      <c r="AL5" s="12"/>
      <c r="AM5" s="12"/>
      <c r="AN5" s="12"/>
    </row>
    <row r="6" spans="1:48" ht="15.75" customHeight="1" x14ac:dyDescent="0.25">
      <c r="A6" s="13" t="s">
        <v>5</v>
      </c>
      <c r="B6" s="13"/>
      <c r="C6" s="13"/>
      <c r="D6" s="13"/>
      <c r="E6" s="35"/>
      <c r="F6" s="35"/>
      <c r="G6" s="9"/>
      <c r="H6" s="10"/>
      <c r="I6" s="36"/>
      <c r="J6" s="36"/>
      <c r="K6" s="10"/>
      <c r="L6" s="36"/>
      <c r="M6" s="36"/>
      <c r="O6" s="36"/>
      <c r="P6" s="36"/>
      <c r="Q6" s="14"/>
      <c r="R6" s="14"/>
      <c r="S6" s="10"/>
      <c r="T6" s="11"/>
      <c r="U6" s="11"/>
      <c r="V6" s="11"/>
      <c r="W6" s="11"/>
      <c r="X6" s="11"/>
      <c r="Y6" s="11"/>
      <c r="Z6" s="11"/>
      <c r="AA6" s="11"/>
      <c r="AB6" s="24"/>
      <c r="AC6" s="29"/>
      <c r="AD6" s="29"/>
      <c r="AE6" s="27"/>
      <c r="AF6" s="27"/>
      <c r="AG6" s="7"/>
      <c r="AH6" s="7"/>
      <c r="AI6" s="12"/>
      <c r="AJ6" s="12"/>
      <c r="AK6" s="12"/>
      <c r="AL6" s="12"/>
      <c r="AM6" s="12"/>
      <c r="AN6" s="12"/>
    </row>
    <row r="7" spans="1:48" ht="15.75" customHeight="1" x14ac:dyDescent="0.25">
      <c r="A7" s="14"/>
      <c r="B7" s="14"/>
      <c r="C7" s="14"/>
      <c r="D7" s="14"/>
      <c r="E7" s="37"/>
      <c r="F7" s="37"/>
      <c r="G7" s="14"/>
      <c r="H7" s="14"/>
      <c r="I7" s="15"/>
      <c r="J7" s="14"/>
      <c r="K7" s="14"/>
      <c r="L7" s="16"/>
      <c r="M7" s="37"/>
      <c r="N7" s="28"/>
      <c r="O7" s="37"/>
      <c r="P7" s="37"/>
      <c r="Q7" s="47" t="s">
        <v>6</v>
      </c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</row>
    <row r="8" spans="1:48" s="15" customFormat="1" ht="63" customHeight="1" x14ac:dyDescent="0.25">
      <c r="A8" s="38" t="s">
        <v>7</v>
      </c>
      <c r="B8" s="39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  <c r="L8" s="2" t="s">
        <v>18</v>
      </c>
      <c r="M8" s="2" t="s">
        <v>19</v>
      </c>
      <c r="N8" s="5" t="s">
        <v>20</v>
      </c>
      <c r="O8" s="2" t="s">
        <v>21</v>
      </c>
      <c r="P8" s="5" t="s">
        <v>22</v>
      </c>
      <c r="Q8" s="42" t="s">
        <v>23</v>
      </c>
      <c r="R8" s="42" t="s">
        <v>24</v>
      </c>
      <c r="S8" s="42" t="s">
        <v>25</v>
      </c>
      <c r="T8" s="42" t="s">
        <v>26</v>
      </c>
      <c r="U8" s="42" t="s">
        <v>27</v>
      </c>
      <c r="V8" s="42" t="s">
        <v>28</v>
      </c>
      <c r="W8" s="42" t="s">
        <v>29</v>
      </c>
      <c r="X8" s="1" t="s">
        <v>30</v>
      </c>
      <c r="Y8" s="1" t="s">
        <v>31</v>
      </c>
      <c r="Z8" s="1" t="s">
        <v>32</v>
      </c>
      <c r="AA8" s="1" t="s">
        <v>33</v>
      </c>
      <c r="AB8" s="25" t="s">
        <v>34</v>
      </c>
      <c r="AC8" s="1" t="s">
        <v>35</v>
      </c>
      <c r="AD8" s="1" t="s">
        <v>36</v>
      </c>
      <c r="AE8" s="42" t="s">
        <v>37</v>
      </c>
      <c r="AF8" s="42" t="s">
        <v>38</v>
      </c>
      <c r="AG8" s="1" t="s">
        <v>39</v>
      </c>
      <c r="AH8" s="1" t="s">
        <v>40</v>
      </c>
      <c r="AI8" s="42" t="s">
        <v>41</v>
      </c>
      <c r="AJ8" s="42" t="s">
        <v>42</v>
      </c>
      <c r="AK8" s="42" t="s">
        <v>43</v>
      </c>
      <c r="AL8" s="42" t="s">
        <v>44</v>
      </c>
      <c r="AM8" s="42" t="s">
        <v>45</v>
      </c>
      <c r="AN8" s="42" t="s">
        <v>46</v>
      </c>
      <c r="AO8" s="42" t="s">
        <v>47</v>
      </c>
      <c r="AP8" s="42" t="s">
        <v>48</v>
      </c>
      <c r="AQ8" s="42" t="s">
        <v>49</v>
      </c>
      <c r="AR8" s="42" t="s">
        <v>50</v>
      </c>
      <c r="AS8" s="42" t="s">
        <v>51</v>
      </c>
      <c r="AT8" s="42" t="s">
        <v>52</v>
      </c>
      <c r="AU8" s="42"/>
      <c r="AV8" s="44" t="s">
        <v>53</v>
      </c>
    </row>
    <row r="9" spans="1:48" x14ac:dyDescent="0.25">
      <c r="A9" s="46">
        <v>46195</v>
      </c>
      <c r="B9" t="s">
        <v>54</v>
      </c>
      <c r="C9" t="s">
        <v>55</v>
      </c>
      <c r="D9" s="46">
        <v>46220</v>
      </c>
      <c r="E9" t="s">
        <v>56</v>
      </c>
      <c r="G9" t="s">
        <v>57</v>
      </c>
      <c r="L9" t="s">
        <v>58</v>
      </c>
      <c r="S9" t="s">
        <v>59</v>
      </c>
      <c r="T9" t="s">
        <v>60</v>
      </c>
      <c r="U9" t="s">
        <v>61</v>
      </c>
      <c r="V9" t="s">
        <v>82</v>
      </c>
      <c r="X9">
        <v>0</v>
      </c>
      <c r="Y9">
        <v>0</v>
      </c>
      <c r="Z9">
        <v>0</v>
      </c>
      <c r="AE9">
        <v>8</v>
      </c>
      <c r="AJ9" t="s">
        <v>62</v>
      </c>
      <c r="AM9" t="s">
        <v>63</v>
      </c>
      <c r="AV9">
        <v>60</v>
      </c>
    </row>
    <row r="10" spans="1:48" x14ac:dyDescent="0.25">
      <c r="A10" s="46">
        <v>46195</v>
      </c>
      <c r="B10" t="s">
        <v>54</v>
      </c>
      <c r="C10" t="s">
        <v>55</v>
      </c>
      <c r="D10" s="46">
        <v>46220</v>
      </c>
      <c r="E10" t="s">
        <v>56</v>
      </c>
      <c r="G10" t="s">
        <v>57</v>
      </c>
      <c r="L10" t="s">
        <v>59</v>
      </c>
      <c r="Q10" t="s">
        <v>64</v>
      </c>
      <c r="S10" t="s">
        <v>65</v>
      </c>
      <c r="T10" t="s">
        <v>61</v>
      </c>
      <c r="U10" t="s">
        <v>61</v>
      </c>
      <c r="V10" s="45" t="s">
        <v>82</v>
      </c>
      <c r="X10">
        <v>1060</v>
      </c>
      <c r="Y10">
        <v>22996</v>
      </c>
      <c r="Z10">
        <f>Y10*X10</f>
        <v>24375760</v>
      </c>
      <c r="AE10">
        <v>8</v>
      </c>
      <c r="AJ10" t="s">
        <v>62</v>
      </c>
      <c r="AM10" t="s">
        <v>63</v>
      </c>
      <c r="AQ10" t="s">
        <v>66</v>
      </c>
      <c r="AR10" t="s">
        <v>67</v>
      </c>
      <c r="AT10">
        <v>530</v>
      </c>
      <c r="AU10">
        <v>53</v>
      </c>
      <c r="AV10">
        <v>60</v>
      </c>
    </row>
    <row r="11" spans="1:48" x14ac:dyDescent="0.25">
      <c r="A11" s="46">
        <v>46195</v>
      </c>
      <c r="B11" t="s">
        <v>54</v>
      </c>
      <c r="C11" t="s">
        <v>55</v>
      </c>
      <c r="D11" s="46">
        <v>46220</v>
      </c>
      <c r="E11" t="s">
        <v>56</v>
      </c>
      <c r="G11" t="s">
        <v>57</v>
      </c>
      <c r="L11" t="s">
        <v>59</v>
      </c>
      <c r="Q11" t="s">
        <v>68</v>
      </c>
      <c r="S11" t="s">
        <v>69</v>
      </c>
      <c r="T11" t="s">
        <v>61</v>
      </c>
      <c r="U11" t="s">
        <v>61</v>
      </c>
      <c r="V11" s="45" t="s">
        <v>82</v>
      </c>
      <c r="X11">
        <v>432</v>
      </c>
      <c r="Y11">
        <v>23870</v>
      </c>
      <c r="Z11">
        <f>Y11*X11</f>
        <v>10311840</v>
      </c>
      <c r="AE11">
        <v>8</v>
      </c>
      <c r="AJ11" t="s">
        <v>62</v>
      </c>
      <c r="AM11" t="s">
        <v>63</v>
      </c>
      <c r="AQ11" t="s">
        <v>66</v>
      </c>
      <c r="AR11" t="s">
        <v>70</v>
      </c>
      <c r="AT11">
        <v>181.44</v>
      </c>
      <c r="AU11">
        <v>18</v>
      </c>
      <c r="AV11">
        <v>60</v>
      </c>
    </row>
    <row r="12" spans="1:48" x14ac:dyDescent="0.25">
      <c r="A12" s="46">
        <v>46195</v>
      </c>
      <c r="B12" t="s">
        <v>54</v>
      </c>
      <c r="C12" t="s">
        <v>55</v>
      </c>
      <c r="D12" s="46">
        <v>46220</v>
      </c>
      <c r="E12" t="s">
        <v>56</v>
      </c>
      <c r="G12" t="s">
        <v>57</v>
      </c>
      <c r="L12" t="s">
        <v>59</v>
      </c>
      <c r="Q12" t="s">
        <v>71</v>
      </c>
      <c r="S12" t="s">
        <v>72</v>
      </c>
      <c r="T12" t="s">
        <v>61</v>
      </c>
      <c r="U12" t="s">
        <v>61</v>
      </c>
      <c r="V12" s="45" t="s">
        <v>82</v>
      </c>
      <c r="X12">
        <v>528</v>
      </c>
      <c r="Y12">
        <v>23870</v>
      </c>
      <c r="Z12">
        <f>Y12*X12</f>
        <v>12603360</v>
      </c>
      <c r="AE12">
        <v>8</v>
      </c>
      <c r="AJ12" t="s">
        <v>62</v>
      </c>
      <c r="AM12" t="s">
        <v>63</v>
      </c>
      <c r="AQ12" t="s">
        <v>66</v>
      </c>
      <c r="AR12" t="s">
        <v>73</v>
      </c>
      <c r="AT12">
        <v>221.76</v>
      </c>
      <c r="AU12">
        <v>22</v>
      </c>
      <c r="AV12">
        <v>60</v>
      </c>
    </row>
    <row r="13" spans="1:48" x14ac:dyDescent="0.25">
      <c r="A13" s="46">
        <v>46195</v>
      </c>
      <c r="B13" t="s">
        <v>54</v>
      </c>
      <c r="C13" t="s">
        <v>55</v>
      </c>
      <c r="D13" s="46">
        <v>46220</v>
      </c>
      <c r="E13" t="s">
        <v>56</v>
      </c>
      <c r="G13" t="s">
        <v>57</v>
      </c>
      <c r="L13" t="s">
        <v>59</v>
      </c>
      <c r="Q13" t="s">
        <v>74</v>
      </c>
      <c r="S13" t="s">
        <v>75</v>
      </c>
      <c r="T13" t="s">
        <v>61</v>
      </c>
      <c r="U13" t="s">
        <v>61</v>
      </c>
      <c r="V13" s="45" t="s">
        <v>82</v>
      </c>
      <c r="X13">
        <v>456</v>
      </c>
      <c r="Y13">
        <v>12005</v>
      </c>
      <c r="Z13">
        <f>Y13*X13</f>
        <v>5474280</v>
      </c>
      <c r="AE13">
        <v>8</v>
      </c>
      <c r="AJ13" t="s">
        <v>62</v>
      </c>
      <c r="AM13" t="s">
        <v>63</v>
      </c>
      <c r="AQ13" t="s">
        <v>66</v>
      </c>
      <c r="AR13" t="s">
        <v>76</v>
      </c>
      <c r="AT13">
        <v>255.36</v>
      </c>
      <c r="AU13">
        <v>38</v>
      </c>
      <c r="AV13">
        <v>60</v>
      </c>
    </row>
    <row r="18" ht="30" customHeight="1" x14ac:dyDescent="0.25"/>
  </sheetData>
  <autoFilter ref="A1:AS9" xr:uid="{00000000-0009-0000-0000-000000000000}"/>
  <mergeCells count="1">
    <mergeCell ref="Q7:AP7"/>
  </mergeCells>
  <conditionalFormatting sqref="S1:S1048576">
    <cfRule type="containsText" dxfId="0" priority="361" operator="containsText" text="Không thấy tên sản phẩm">
      <formula>NOT(ISERROR(SEARCH("Không thấy tên sản phẩm",S1)))</formula>
    </cfRule>
  </conditionalFormatting>
  <dataValidations xWindow="839" yWindow="418" count="40">
    <dataValidation allowBlank="1" showInputMessage="1" showErrorMessage="1" promptTitle="AMIS ACCOUNTING" prompt="Nhập Ngày đơn hàng" sqref="A8" xr:uid="{00000000-0002-0000-0000-000000000000}"/>
    <dataValidation allowBlank="1" showInputMessage="1" showErrorMessage="1" promptTitle="AMIS ACCOUNTING" prompt="Nhập số đơn hàng_x000a_Tối đa 25 ký tự." sqref="B8" xr:uid="{00000000-0002-0000-0000-000001000000}"/>
    <dataValidation allowBlank="1" showInputMessage="1" showErrorMessage="1" promptTitle="MISA SME.NET" prompt="Nhập địa điểm giao hàng._x000a_Tối đa 255 ký tự." sqref="E1:E7" xr:uid="{00000000-0002-0000-0000-000002000000}"/>
    <dataValidation allowBlank="1" showInputMessage="1" showErrorMessage="1" promptTitle="MISA SME.NET" prompt="Nhập Ngày giao hàng" sqref="D1:D7" xr:uid="{00000000-0002-0000-0000-000003000000}"/>
    <dataValidation allowBlank="1" showInputMessage="1" showErrorMessage="1" promptTitle="AMIS ACCOUNTING" prompt="Nhập Ngày giao hàng" sqref="D8" xr:uid="{00000000-0002-0000-0000-000004000000}"/>
    <dataValidation allowBlank="1" showInputMessage="1" showErrorMessage="1" promptTitle="AMIS ACCOUNTING" prompt="Nhập địa điểm giao hàng._x000a_Tối đa 255 ký tự." sqref="E8" xr:uid="{00000000-0002-0000-0000-000005000000}"/>
    <dataValidation allowBlank="1" showInputMessage="1" showErrorMessage="1" promptTitle="AMIS ACCOUNTING" prompt="Nhập tiền thuế giá trị gia tăng quy đổi: tối đa 14 ký tự." sqref="AH8" xr:uid="{00000000-0002-0000-0000-000006000000}"/>
    <dataValidation allowBlank="1" showInputMessage="1" showErrorMessage="1" promptTitle="AMIS ACCOUNTING" prompt="Nhập Tiền chiết khấu_x000a_Tối đa 14 ký tự." sqref="AC8" xr:uid="{00000000-0002-0000-0000-000007000000}"/>
    <dataValidation allowBlank="1" showInputMessage="1" showErrorMessage="1" promptTitle="AMIS ACCOUNTING" prompt="Nhập Tỷ lệ chiết khẩu_x000a_Nhập giá trị trong khoảng 0 - 100." sqref="AB8" xr:uid="{00000000-0002-0000-0000-000008000000}"/>
    <dataValidation allowBlank="1" showInputMessage="1" showErrorMessage="1" promptTitle="AMIS ACCOUNTING" prompt="Nhập Thành tiền_x000a_Tối đa 14 ký tự." sqref="Z8" xr:uid="{00000000-0002-0000-0000-000009000000}"/>
    <dataValidation allowBlank="1" showInputMessage="1" showErrorMessage="1" promptTitle="AMIS ACCOUNTING" prompt="Nhập Đơn giá_x000a_Tối đa 14 ký tự." sqref="Y8" xr:uid="{00000000-0002-0000-0000-00000A000000}"/>
    <dataValidation allowBlank="1" showInputMessage="1" showErrorMessage="1" promptTitle="AMIS ACCOUNTING" prompt="Nhập Số lượng_x000a_Tối đa 14 ký tự." sqref="X8" xr:uid="{00000000-0002-0000-0000-00000B000000}"/>
    <dataValidation allowBlank="1" showInputMessage="1" showErrorMessage="1" promptTitle="AMIS ACCOUNTING" prompt="Nhập Đơn vị tính." sqref="W8" xr:uid="{00000000-0002-0000-0000-00000C000000}"/>
    <dataValidation allowBlank="1" showInputMessage="1" showErrorMessage="1" promptTitle="AMIS ACCOUNTING" prompt="Nhập Mã khoản mục CP_x000a_" sqref="AI8" xr:uid="{00000000-0002-0000-0000-00000D000000}"/>
    <dataValidation allowBlank="1" showInputMessage="1" showErrorMessage="1" promptTitle="AMIS ACCOUNTING" prompt="Nhập mã kho" sqref="V8" xr:uid="{00000000-0002-0000-0000-00000E000000}"/>
    <dataValidation allowBlank="1" showInputMessage="1" showErrorMessage="1" promptTitle="AMIS ACCOUNTING" prompt="Đây có phải là dòng ghi chú không?_x000a_Có_x000a_Không_x000a_" sqref="T8" xr:uid="{00000000-0002-0000-0000-00000F000000}"/>
    <dataValidation allowBlank="1" showInputMessage="1" showErrorMessage="1" promptTitle="AMIS ACCOUNTING" prompt="Đơn đặt hàng có tính giá thành không?_x000a_Có_x000a_Không_x000a_Nếu để trống mặc định là Có." sqref="F8" xr:uid="{00000000-0002-0000-0000-000010000000}"/>
    <dataValidation allowBlank="1" showInputMessage="1" showErrorMessage="1" promptTitle="AMIS ACCOUNTING" prompt="Nhập Mã thống kê. Tối đa 20 ký tự." sqref="AM8:AV8" xr:uid="{00000000-0002-0000-0000-000011000000}"/>
    <dataValidation allowBlank="1" showInputMessage="1" showErrorMessage="1" promptTitle="AMIS ACCOUNTING" prompt="Nhập Số hợp đồng bán. Tối đa 50 ký tự." sqref="AL8" xr:uid="{00000000-0002-0000-0000-000012000000}"/>
    <dataValidation allowBlank="1" showInputMessage="1" showErrorMessage="1" promptTitle="AMIS ACCOUNTING" prompt="Nhập Mã đối tượng tập hợp chi phí._x000a_Tối đa 20 ký tự." sqref="AK8" xr:uid="{00000000-0002-0000-0000-000013000000}"/>
    <dataValidation allowBlank="1" showInputMessage="1" showErrorMessage="1" promptTitle="AMIS ACCOUNTING" prompt="Nhập Mã đơn vị. Tối đa 20 ký tự." sqref="AJ8" xr:uid="{00000000-0002-0000-0000-000014000000}"/>
    <dataValidation allowBlank="1" showInputMessage="1" showErrorMessage="1" promptTitle="AMIS ACCOUNTING" prompt="Nhập Là hàng khuyến mại._x000a_- Có_x000a_- Không_x000a_" sqref="U8" xr:uid="{00000000-0002-0000-0000-000015000000}"/>
    <dataValidation allowBlank="1" showInputMessage="1" showErrorMessage="1" promptTitle="AMIS ACCOUNTING" prompt="Nhập Mã nhân viên bán hàng." sqref="M8" xr:uid="{00000000-0002-0000-0000-000016000000}"/>
    <dataValidation allowBlank="1" showInputMessage="1" showErrorMessage="1" promptTitle="AMIS ACCOUNTING" prompt="Nhập Diễn giải_x000a_Tối đa 255 ký tự." sqref="L8" xr:uid="{00000000-0002-0000-0000-000017000000}"/>
    <dataValidation allowBlank="1" showInputMessage="1" showErrorMessage="1" promptTitle="AMIS ACCOUNTING" prompt="Nhập Mã số thuế khách hàng: tối đa 20 ký tự." sqref="J8" xr:uid="{00000000-0002-0000-0000-000018000000}"/>
    <dataValidation allowBlank="1" showInputMessage="1" showErrorMessage="1" promptTitle="AMIS ACCOUNTING" prompt="Nhập Địa chỉ khách hàng: Tối đa 255 ký tự." sqref="I8" xr:uid="{00000000-0002-0000-0000-000019000000}"/>
    <dataValidation allowBlank="1" showInputMessage="1" showErrorMessage="1" promptTitle="AMIS ACCOUNTING" prompt="Nhập Trạng thái đơn hàng:_x000a_Chưa thực hiện_x000a_Đang thực hiện_x000a_Hoàn thành_x000a_Đã hủy bỏ_x000a_Nếu để trống mặc định là Chưa thực hiện." sqref="C8" xr:uid="{00000000-0002-0000-0000-00001A000000}"/>
    <dataValidation allowBlank="1" showInputMessage="1" showErrorMessage="1" promptTitle="AMIS ACCOUNTING" prompt="Nhập Thành tiền quy đổi_x000a_Tối đa 14 ký tự." sqref="AA8" xr:uid="{00000000-0002-0000-0000-00001B000000}"/>
    <dataValidation allowBlank="1" showInputMessage="1" showErrorMessage="1" promptTitle="AMIS ACCOUNTING" prompt="Nhập Tiền chiết khấu quy đổi_x000a_Tối đa 14 ký tự." sqref="AD8" xr:uid="{00000000-0002-0000-0000-00001C000000}"/>
    <dataValidation allowBlank="1" showInputMessage="1" showErrorMessage="1" promptTitle="AMIS ACCOUNTING" prompt="Nhập Mã loại tiền._x000a_Nếu bỏ trống ngầm định là đồng tiền hạch toán." sqref="O8" xr:uid="{00000000-0002-0000-0000-00001D000000}"/>
    <dataValidation allowBlank="1" showInputMessage="1" showErrorMessage="1" promptTitle="AMIS ACCOUNTING" prompt="Nhập Tỷ giá: tối đa 14 ký tự._x000a_Nếu để trống thì mặc định lấy tỷ giá theo Loại tiền." sqref="P8" xr:uid="{00000000-0002-0000-0000-00001E000000}"/>
    <dataValidation allowBlank="1" showInputMessage="1" showErrorMessage="1" promptTitle="AMIS ACCOUNTING" prompt="Nhập tiền thuế giá trị gia tăng: tối đa 14 ký tự." sqref="AG8" xr:uid="{00000000-0002-0000-0000-00001F000000}"/>
    <dataValidation allowBlank="1" showInputMessage="1" showErrorMessage="1" promptTitle="AMIS ACCOUNTING" prompt="Nhập Tên người nhận hàng" sqref="K8" xr:uid="{00000000-0002-0000-0000-000020000000}"/>
    <dataValidation allowBlank="1" showInputMessage="1" showErrorMessage="1" promptTitle="AMIS ACCOUNTING" prompt="Nhập mã hàng_x000a_" sqref="Q8" xr:uid="{00000000-0002-0000-0000-000021000000}"/>
    <dataValidation allowBlank="1" showInputMessage="1" showErrorMessage="1" promptTitle="AMIS ACCOUTING" prompt="Nhập Mã khách hàng." sqref="G8" xr:uid="{00000000-0002-0000-0000-000022000000}"/>
    <dataValidation allowBlank="1" showInputMessage="1" showErrorMessage="1" promptTitle="AMIS ACCOUTING" prompt="Nhập Tên khách hàng." sqref="H8" xr:uid="{00000000-0002-0000-0000-000023000000}"/>
    <dataValidation allowBlank="1" showInputMessage="1" showErrorMessage="1" promptTitle="AMIS ACCOUTING" prompt="Nhập thuế suất thuế giá trị gia tăng: 0,5,8,10,KCT,KKKNT,KHAC." sqref="AE8" xr:uid="{00000000-0002-0000-0000-000024000000}"/>
    <dataValidation allowBlank="1" showInputMessage="1" showErrorMessage="1" promptTitle="AMIS ACCOUTING" prompt="Chỉ nhập nếu % thuế suất giá trị gia tăng là KHAC." sqref="AF8" xr:uid="{00000000-0002-0000-0000-000025000000}"/>
    <dataValidation allowBlank="1" showInputMessage="1" showErrorMessage="1" promptTitle="AMIS ACCOUNTING" prompt="Nhập mã combo chứa dòng hàng hóa chi tiết này. Chỉ nhập giá trị với các dòng là hàng hóa chi tiết trong combo._x000a_" sqref="R8" xr:uid="{00000000-0002-0000-0000-000026000000}"/>
    <dataValidation allowBlank="1" showInputMessage="1" showErrorMessage="1" promptTitle="AMIS ACCOUNTING" prompt="Nhập tên hàng hóa" sqref="S8" xr:uid="{00000000-0002-0000-0000-000027000000}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selection activeCell="D16" sqref="D16:D17"/>
    </sheetView>
  </sheetViews>
  <sheetFormatPr defaultRowHeight="15" x14ac:dyDescent="0.25"/>
  <cols>
    <col min="1" max="1" width="33.7109375" style="45" customWidth="1"/>
  </cols>
  <sheetData>
    <row r="1" spans="1:1" x14ac:dyDescent="0.25">
      <c r="A1" t="s">
        <v>77</v>
      </c>
    </row>
    <row r="2" spans="1:1" x14ac:dyDescent="0.25">
      <c r="A2" t="s">
        <v>78</v>
      </c>
    </row>
    <row r="3" spans="1:1" x14ac:dyDescent="0.25">
      <c r="A3" t="s">
        <v>79</v>
      </c>
    </row>
    <row r="4" spans="1:1" x14ac:dyDescent="0.25">
      <c r="A4" t="s">
        <v>80</v>
      </c>
    </row>
    <row r="5" spans="1:1" x14ac:dyDescent="0.25">
      <c r="A5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Don dat hang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 NGUYEN THI</dc:creator>
  <cp:lastModifiedBy>Thành Huỳnh Đạt</cp:lastModifiedBy>
  <dcterms:created xsi:type="dcterms:W3CDTF">2020-04-13T09:40:17Z</dcterms:created>
  <dcterms:modified xsi:type="dcterms:W3CDTF">2026-06-24T01:49:58Z</dcterms:modified>
</cp:coreProperties>
</file>